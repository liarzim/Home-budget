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בית\תקציב שנתי\"/>
    </mc:Choice>
  </mc:AlternateContent>
  <xr:revisionPtr revIDLastSave="0" documentId="13_ncr:1_{853923F9-91B4-4B57-90DB-11AA8C391D31}" xr6:coauthVersionLast="47" xr6:coauthVersionMax="47" xr10:uidLastSave="{00000000-0000-0000-0000-000000000000}"/>
  <bookViews>
    <workbookView xWindow="-120" yWindow="-120" windowWidth="19440" windowHeight="15150" tabRatio="686" firstSheet="1" activeTab="3" xr2:uid="{00000000-000D-0000-FFFF-FFFF00000000}"/>
  </bookViews>
  <sheets>
    <sheet name="סיכום" sheetId="5" state="hidden" r:id="rId1"/>
    <sheet name="הכנסות" sheetId="7" r:id="rId2"/>
    <sheet name="הוצאות" sheetId="9" r:id="rId3"/>
    <sheet name="הוצאות ידני" sheetId="8" r:id="rId4"/>
    <sheet name="1" sheetId="10" r:id="rId5"/>
    <sheet name="2" sheetId="11" r:id="rId6"/>
    <sheet name="3" sheetId="12" r:id="rId7"/>
    <sheet name="4" sheetId="13" r:id="rId8"/>
    <sheet name="5" sheetId="14" r:id="rId9"/>
    <sheet name="6" sheetId="15" r:id="rId10"/>
    <sheet name="7" sheetId="16" r:id="rId11"/>
    <sheet name="8" sheetId="17" r:id="rId12"/>
    <sheet name="9" sheetId="4" r:id="rId13"/>
    <sheet name="10" sheetId="1" r:id="rId14"/>
    <sheet name="11" sheetId="2" r:id="rId15"/>
    <sheet name="12" sheetId="3" r:id="rId16"/>
    <sheet name="טבלאות" sheetId="6" r:id="rId17"/>
  </sheets>
  <definedNames>
    <definedName name="_xlnm._FilterDatabase" localSheetId="4" hidden="1">'1'!$A$1:$DF$110</definedName>
    <definedName name="_xlnm._FilterDatabase" localSheetId="13" hidden="1">'10'!$A$1:$N$239</definedName>
    <definedName name="_xlnm._FilterDatabase" localSheetId="14" hidden="1">'11'!$A$1:$N$99</definedName>
    <definedName name="_xlnm._FilterDatabase" localSheetId="15" hidden="1">'12'!$A$1:$M$113</definedName>
    <definedName name="_xlnm._FilterDatabase" localSheetId="5" hidden="1">'2'!$A$1:$N$133</definedName>
    <definedName name="_xlnm._FilterDatabase" localSheetId="6" hidden="1">'3'!$A$1:$N$113</definedName>
    <definedName name="_xlnm._FilterDatabase" localSheetId="7" hidden="1">'4'!$A$1:$N$113</definedName>
    <definedName name="_xlnm._FilterDatabase" localSheetId="8" hidden="1">'5'!$A$1:$N$114</definedName>
    <definedName name="_xlnm._FilterDatabase" localSheetId="9" hidden="1">'6'!$A$1:$N$113</definedName>
    <definedName name="_xlnm._FilterDatabase" localSheetId="10" hidden="1">'7'!$A$1:$N$123</definedName>
    <definedName name="_xlnm._FilterDatabase" localSheetId="11" hidden="1">'8'!$A$1:$N$143</definedName>
    <definedName name="_xlnm._FilterDatabase" localSheetId="12" hidden="1">'9'!$A$1:$N$98</definedName>
    <definedName name="חודש">טבלאות!$E$2:$E$14</definedName>
    <definedName name="סוג_כרטיס">טבלאות!$K$2:$K$6</definedName>
    <definedName name="סוגי_הוצאות">טבלאות!$A$2:$A$25</definedName>
    <definedName name="סוגי_הכנסות">טבלאות!$C$2:$C$7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5" i="16" l="1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L113" i="16"/>
  <c r="L114" i="16"/>
  <c r="L115" i="16"/>
  <c r="L116" i="16"/>
  <c r="L117" i="16"/>
  <c r="L118" i="16"/>
  <c r="L119" i="16"/>
  <c r="L120" i="16"/>
  <c r="L121" i="16"/>
  <c r="L122" i="16"/>
  <c r="L123" i="16"/>
  <c r="K97" i="16"/>
  <c r="L97" i="16"/>
  <c r="M97" i="16" s="1"/>
  <c r="K98" i="16"/>
  <c r="L98" i="16"/>
  <c r="M98" i="16" s="1"/>
  <c r="K99" i="16"/>
  <c r="L99" i="16"/>
  <c r="M99" i="16" s="1"/>
  <c r="K100" i="16"/>
  <c r="L100" i="16"/>
  <c r="M100" i="16" s="1"/>
  <c r="K101" i="16"/>
  <c r="L101" i="16"/>
  <c r="M101" i="16" s="1"/>
  <c r="K102" i="16"/>
  <c r="L102" i="16"/>
  <c r="M102" i="16" s="1"/>
  <c r="K103" i="16"/>
  <c r="L103" i="16"/>
  <c r="M103" i="16" s="1"/>
  <c r="K104" i="16"/>
  <c r="L104" i="16"/>
  <c r="M104" i="16" s="1"/>
  <c r="B11" i="7"/>
  <c r="C11" i="7"/>
  <c r="K103" i="15"/>
  <c r="K102" i="15"/>
  <c r="K101" i="15"/>
  <c r="K100" i="15"/>
  <c r="K99" i="15"/>
  <c r="H12" i="8"/>
  <c r="F10" i="7"/>
  <c r="B10" i="7"/>
  <c r="C10" i="7"/>
  <c r="C9" i="7" l="1"/>
  <c r="B9" i="7"/>
  <c r="F8" i="7"/>
  <c r="E6" i="8" l="1"/>
  <c r="B8" i="7"/>
  <c r="C8" i="7"/>
  <c r="L107" i="12" l="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C7" i="7"/>
  <c r="B7" i="7"/>
  <c r="C6" i="8" l="1"/>
  <c r="B6" i="7"/>
  <c r="C6" i="7"/>
  <c r="B5" i="7" l="1"/>
  <c r="E23" i="7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5" i="17"/>
  <c r="L46" i="17"/>
  <c r="L47" i="17"/>
  <c r="L48" i="17"/>
  <c r="L49" i="17"/>
  <c r="L50" i="17"/>
  <c r="L51" i="17"/>
  <c r="L52" i="17"/>
  <c r="L53" i="17"/>
  <c r="L54" i="17"/>
  <c r="L55" i="17"/>
  <c r="L56" i="17"/>
  <c r="L76" i="17"/>
  <c r="L77" i="17"/>
  <c r="L134" i="17"/>
  <c r="L78" i="2"/>
  <c r="L79" i="2"/>
  <c r="L80" i="2"/>
  <c r="M6" i="8"/>
  <c r="L239" i="1" l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6" i="8" l="1"/>
  <c r="D23" i="7" l="1"/>
  <c r="J10" i="8" l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M134" i="17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K143" i="17"/>
  <c r="K142" i="17"/>
  <c r="K141" i="17"/>
  <c r="K140" i="17"/>
  <c r="K139" i="17"/>
  <c r="K138" i="17"/>
  <c r="K137" i="17"/>
  <c r="K136" i="17"/>
  <c r="K135" i="17"/>
  <c r="K134" i="17"/>
  <c r="K133" i="17"/>
  <c r="K132" i="17"/>
  <c r="K131" i="17"/>
  <c r="K130" i="17"/>
  <c r="K129" i="17"/>
  <c r="K128" i="17"/>
  <c r="K127" i="17"/>
  <c r="K126" i="17"/>
  <c r="K125" i="17"/>
  <c r="K124" i="17"/>
  <c r="K123" i="17"/>
  <c r="K122" i="17"/>
  <c r="K121" i="17"/>
  <c r="K120" i="17"/>
  <c r="K119" i="17"/>
  <c r="K118" i="17"/>
  <c r="K117" i="17"/>
  <c r="K116" i="17"/>
  <c r="K115" i="17"/>
  <c r="K114" i="17"/>
  <c r="K113" i="17"/>
  <c r="K112" i="17"/>
  <c r="K108" i="17"/>
  <c r="K107" i="17"/>
  <c r="K106" i="17"/>
  <c r="K105" i="17"/>
  <c r="K104" i="17"/>
  <c r="K102" i="17"/>
  <c r="K101" i="17"/>
  <c r="K100" i="17"/>
  <c r="K99" i="17"/>
  <c r="K98" i="17"/>
  <c r="K97" i="17"/>
  <c r="L3" i="17"/>
  <c r="I6" i="8" l="1"/>
  <c r="L77" i="16"/>
  <c r="M77" i="16" s="1"/>
  <c r="L78" i="16"/>
  <c r="M78" i="16" s="1"/>
  <c r="L79" i="16"/>
  <c r="M79" i="16" s="1"/>
  <c r="L80" i="16"/>
  <c r="M80" i="16" s="1"/>
  <c r="L81" i="16"/>
  <c r="M81" i="16" s="1"/>
  <c r="L82" i="16"/>
  <c r="M82" i="16" s="1"/>
  <c r="L83" i="16"/>
  <c r="M83" i="16" s="1"/>
  <c r="C49" i="9"/>
  <c r="D49" i="9"/>
  <c r="E49" i="9"/>
  <c r="F49" i="9"/>
  <c r="G49" i="9"/>
  <c r="H49" i="9"/>
  <c r="I49" i="9"/>
  <c r="J49" i="9"/>
  <c r="K49" i="9"/>
  <c r="L49" i="9"/>
  <c r="M49" i="9"/>
  <c r="N49" i="9"/>
  <c r="C50" i="9"/>
  <c r="O50" i="9" s="1"/>
  <c r="D50" i="9"/>
  <c r="E50" i="9"/>
  <c r="F50" i="9"/>
  <c r="G50" i="9"/>
  <c r="H50" i="9"/>
  <c r="I50" i="9"/>
  <c r="J50" i="9"/>
  <c r="K50" i="9"/>
  <c r="L50" i="9"/>
  <c r="M50" i="9"/>
  <c r="N50" i="9"/>
  <c r="O49" i="9" l="1"/>
  <c r="K97" i="15"/>
  <c r="K98" i="15"/>
  <c r="L114" i="14"/>
  <c r="M114" i="14" s="1"/>
  <c r="K114" i="14"/>
  <c r="K106" i="14"/>
  <c r="K107" i="14"/>
  <c r="K108" i="14"/>
  <c r="K109" i="14"/>
  <c r="K110" i="14"/>
  <c r="K111" i="14"/>
  <c r="K112" i="14"/>
  <c r="K113" i="14"/>
  <c r="K98" i="14"/>
  <c r="K99" i="14"/>
  <c r="K100" i="14"/>
  <c r="K101" i="14"/>
  <c r="K102" i="14"/>
  <c r="K103" i="14"/>
  <c r="K104" i="14"/>
  <c r="K97" i="14"/>
  <c r="K105" i="14" l="1"/>
  <c r="L2" i="12" l="1"/>
  <c r="D12" i="8" l="1"/>
  <c r="C12" i="8"/>
  <c r="N24" i="8" l="1"/>
  <c r="K12" i="8"/>
  <c r="I12" i="8"/>
  <c r="L113" i="3" l="1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K96" i="3"/>
  <c r="L95" i="3"/>
  <c r="M95" i="3" s="1"/>
  <c r="K95" i="3"/>
  <c r="L94" i="3"/>
  <c r="M94" i="3" s="1"/>
  <c r="K94" i="3"/>
  <c r="L93" i="3"/>
  <c r="M93" i="3" s="1"/>
  <c r="K93" i="3"/>
  <c r="L92" i="3"/>
  <c r="M92" i="3" s="1"/>
  <c r="K92" i="3"/>
  <c r="L91" i="3"/>
  <c r="M91" i="3" s="1"/>
  <c r="K91" i="3"/>
  <c r="L90" i="3"/>
  <c r="M90" i="3" s="1"/>
  <c r="K90" i="3"/>
  <c r="L89" i="3"/>
  <c r="M89" i="3" s="1"/>
  <c r="K89" i="3"/>
  <c r="L88" i="3"/>
  <c r="M88" i="3" s="1"/>
  <c r="K88" i="3"/>
  <c r="L87" i="3"/>
  <c r="M87" i="3" s="1"/>
  <c r="K87" i="3"/>
  <c r="L86" i="3"/>
  <c r="M86" i="3" s="1"/>
  <c r="K86" i="3"/>
  <c r="L85" i="3"/>
  <c r="M85" i="3" s="1"/>
  <c r="K85" i="3"/>
  <c r="L84" i="3"/>
  <c r="M84" i="3" s="1"/>
  <c r="K84" i="3"/>
  <c r="L83" i="3"/>
  <c r="M83" i="3" s="1"/>
  <c r="K83" i="3"/>
  <c r="L82" i="3"/>
  <c r="M82" i="3" s="1"/>
  <c r="K82" i="3"/>
  <c r="L81" i="3"/>
  <c r="M81" i="3" s="1"/>
  <c r="K81" i="3"/>
  <c r="L80" i="3"/>
  <c r="M80" i="3" s="1"/>
  <c r="K80" i="3"/>
  <c r="L79" i="3"/>
  <c r="M79" i="3" s="1"/>
  <c r="K79" i="3"/>
  <c r="L78" i="3"/>
  <c r="M78" i="3" s="1"/>
  <c r="K78" i="3"/>
  <c r="L77" i="3"/>
  <c r="M77" i="3" s="1"/>
  <c r="K77" i="3"/>
  <c r="L76" i="3"/>
  <c r="M76" i="3" s="1"/>
  <c r="K76" i="3"/>
  <c r="L75" i="3"/>
  <c r="M75" i="3" s="1"/>
  <c r="K75" i="3"/>
  <c r="L74" i="3"/>
  <c r="M74" i="3" s="1"/>
  <c r="K74" i="3"/>
  <c r="L73" i="3"/>
  <c r="M73" i="3" s="1"/>
  <c r="K73" i="3"/>
  <c r="L72" i="3"/>
  <c r="M72" i="3" s="1"/>
  <c r="K72" i="3"/>
  <c r="L71" i="3"/>
  <c r="M71" i="3" s="1"/>
  <c r="K71" i="3"/>
  <c r="L70" i="3"/>
  <c r="M70" i="3" s="1"/>
  <c r="K70" i="3"/>
  <c r="L69" i="3"/>
  <c r="M69" i="3" s="1"/>
  <c r="K69" i="3"/>
  <c r="L68" i="3"/>
  <c r="M68" i="3" s="1"/>
  <c r="K68" i="3"/>
  <c r="L67" i="3"/>
  <c r="M67" i="3" s="1"/>
  <c r="K67" i="3"/>
  <c r="L66" i="3"/>
  <c r="M66" i="3" s="1"/>
  <c r="K66" i="3"/>
  <c r="L65" i="3"/>
  <c r="M65" i="3" s="1"/>
  <c r="K65" i="3"/>
  <c r="L64" i="3"/>
  <c r="M64" i="3" s="1"/>
  <c r="K64" i="3"/>
  <c r="L63" i="3"/>
  <c r="M63" i="3" s="1"/>
  <c r="K63" i="3"/>
  <c r="L62" i="3"/>
  <c r="M62" i="3" s="1"/>
  <c r="K62" i="3"/>
  <c r="L61" i="3"/>
  <c r="M61" i="3" s="1"/>
  <c r="K61" i="3"/>
  <c r="L60" i="3"/>
  <c r="M60" i="3" s="1"/>
  <c r="K60" i="3"/>
  <c r="L59" i="3"/>
  <c r="M59" i="3" s="1"/>
  <c r="K59" i="3"/>
  <c r="L58" i="3"/>
  <c r="M58" i="3" s="1"/>
  <c r="K58" i="3"/>
  <c r="L57" i="3"/>
  <c r="M57" i="3" s="1"/>
  <c r="K57" i="3"/>
  <c r="L56" i="3"/>
  <c r="M56" i="3" s="1"/>
  <c r="K56" i="3"/>
  <c r="L55" i="3"/>
  <c r="M55" i="3" s="1"/>
  <c r="K55" i="3"/>
  <c r="L54" i="3"/>
  <c r="M54" i="3" s="1"/>
  <c r="K54" i="3"/>
  <c r="L53" i="3"/>
  <c r="M53" i="3" s="1"/>
  <c r="K53" i="3"/>
  <c r="L52" i="3"/>
  <c r="M52" i="3" s="1"/>
  <c r="K52" i="3"/>
  <c r="L51" i="3"/>
  <c r="M51" i="3" s="1"/>
  <c r="K51" i="3"/>
  <c r="L50" i="3"/>
  <c r="M50" i="3" s="1"/>
  <c r="K50" i="3"/>
  <c r="L49" i="3"/>
  <c r="M49" i="3" s="1"/>
  <c r="K49" i="3"/>
  <c r="L48" i="3"/>
  <c r="M48" i="3" s="1"/>
  <c r="K48" i="3"/>
  <c r="L47" i="3"/>
  <c r="M47" i="3" s="1"/>
  <c r="K47" i="3"/>
  <c r="L46" i="3"/>
  <c r="M46" i="3" s="1"/>
  <c r="K46" i="3"/>
  <c r="L45" i="3"/>
  <c r="M45" i="3" s="1"/>
  <c r="K45" i="3"/>
  <c r="L44" i="3"/>
  <c r="M44" i="3" s="1"/>
  <c r="K44" i="3"/>
  <c r="L43" i="3"/>
  <c r="M43" i="3" s="1"/>
  <c r="K43" i="3"/>
  <c r="L42" i="3"/>
  <c r="M42" i="3" s="1"/>
  <c r="K42" i="3"/>
  <c r="L41" i="3"/>
  <c r="M41" i="3" s="1"/>
  <c r="K41" i="3"/>
  <c r="L40" i="3"/>
  <c r="M40" i="3" s="1"/>
  <c r="K40" i="3"/>
  <c r="L39" i="3"/>
  <c r="M39" i="3" s="1"/>
  <c r="K39" i="3"/>
  <c r="L38" i="3"/>
  <c r="M38" i="3" s="1"/>
  <c r="K38" i="3"/>
  <c r="L37" i="3"/>
  <c r="M37" i="3" s="1"/>
  <c r="K37" i="3"/>
  <c r="L36" i="3"/>
  <c r="M36" i="3" s="1"/>
  <c r="K36" i="3"/>
  <c r="L35" i="3"/>
  <c r="M35" i="3" s="1"/>
  <c r="K35" i="3"/>
  <c r="L34" i="3"/>
  <c r="M34" i="3" s="1"/>
  <c r="K34" i="3"/>
  <c r="L33" i="3"/>
  <c r="M33" i="3" s="1"/>
  <c r="K33" i="3"/>
  <c r="L32" i="3"/>
  <c r="M32" i="3" s="1"/>
  <c r="K32" i="3"/>
  <c r="L31" i="3"/>
  <c r="M31" i="3" s="1"/>
  <c r="K31" i="3"/>
  <c r="L30" i="3"/>
  <c r="M30" i="3" s="1"/>
  <c r="K30" i="3"/>
  <c r="L29" i="3"/>
  <c r="M29" i="3" s="1"/>
  <c r="K29" i="3"/>
  <c r="L28" i="3"/>
  <c r="M28" i="3" s="1"/>
  <c r="K28" i="3"/>
  <c r="L27" i="3"/>
  <c r="M27" i="3" s="1"/>
  <c r="K27" i="3"/>
  <c r="L26" i="3"/>
  <c r="M26" i="3" s="1"/>
  <c r="K26" i="3"/>
  <c r="L25" i="3"/>
  <c r="M25" i="3" s="1"/>
  <c r="K25" i="3"/>
  <c r="L24" i="3"/>
  <c r="M24" i="3" s="1"/>
  <c r="K24" i="3"/>
  <c r="L23" i="3"/>
  <c r="M23" i="3" s="1"/>
  <c r="K23" i="3"/>
  <c r="L22" i="3"/>
  <c r="M22" i="3" s="1"/>
  <c r="K22" i="3"/>
  <c r="L21" i="3"/>
  <c r="M21" i="3" s="1"/>
  <c r="K21" i="3"/>
  <c r="L20" i="3"/>
  <c r="M20" i="3" s="1"/>
  <c r="K20" i="3"/>
  <c r="L19" i="3"/>
  <c r="M19" i="3" s="1"/>
  <c r="K19" i="3"/>
  <c r="L18" i="3"/>
  <c r="M18" i="3" s="1"/>
  <c r="K18" i="3"/>
  <c r="L17" i="3"/>
  <c r="M17" i="3" s="1"/>
  <c r="K17" i="3"/>
  <c r="L16" i="3"/>
  <c r="M16" i="3" s="1"/>
  <c r="K16" i="3"/>
  <c r="L15" i="3"/>
  <c r="M15" i="3" s="1"/>
  <c r="K15" i="3"/>
  <c r="L14" i="3"/>
  <c r="M14" i="3" s="1"/>
  <c r="K14" i="3"/>
  <c r="L13" i="3"/>
  <c r="M13" i="3" s="1"/>
  <c r="K13" i="3"/>
  <c r="L12" i="3"/>
  <c r="M12" i="3" s="1"/>
  <c r="K12" i="3"/>
  <c r="L11" i="3"/>
  <c r="M11" i="3" s="1"/>
  <c r="K11" i="3"/>
  <c r="L10" i="3"/>
  <c r="M10" i="3" s="1"/>
  <c r="K10" i="3"/>
  <c r="L9" i="3"/>
  <c r="M9" i="3" s="1"/>
  <c r="K9" i="3"/>
  <c r="L8" i="3"/>
  <c r="M8" i="3" s="1"/>
  <c r="K8" i="3"/>
  <c r="L7" i="3"/>
  <c r="M7" i="3" s="1"/>
  <c r="K7" i="3"/>
  <c r="L6" i="3"/>
  <c r="M6" i="3" s="1"/>
  <c r="K6" i="3"/>
  <c r="L5" i="3"/>
  <c r="M5" i="3" s="1"/>
  <c r="K5" i="3"/>
  <c r="L4" i="3"/>
  <c r="M4" i="3" s="1"/>
  <c r="K4" i="3"/>
  <c r="L3" i="3"/>
  <c r="M3" i="3" s="1"/>
  <c r="K3" i="3"/>
  <c r="L2" i="3"/>
  <c r="M2" i="3" s="1"/>
  <c r="K2" i="3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K96" i="2"/>
  <c r="L95" i="2"/>
  <c r="M95" i="2" s="1"/>
  <c r="K95" i="2"/>
  <c r="L94" i="2"/>
  <c r="M94" i="2" s="1"/>
  <c r="K94" i="2"/>
  <c r="L93" i="2"/>
  <c r="M93" i="2" s="1"/>
  <c r="K93" i="2"/>
  <c r="L92" i="2"/>
  <c r="M92" i="2" s="1"/>
  <c r="K92" i="2"/>
  <c r="L91" i="2"/>
  <c r="M91" i="2" s="1"/>
  <c r="K91" i="2"/>
  <c r="L90" i="2"/>
  <c r="M90" i="2" s="1"/>
  <c r="K90" i="2"/>
  <c r="L89" i="2"/>
  <c r="M89" i="2" s="1"/>
  <c r="K89" i="2"/>
  <c r="L88" i="2"/>
  <c r="M88" i="2" s="1"/>
  <c r="K88" i="2"/>
  <c r="L87" i="2"/>
  <c r="M87" i="2" s="1"/>
  <c r="K87" i="2"/>
  <c r="L86" i="2"/>
  <c r="M86" i="2" s="1"/>
  <c r="K86" i="2"/>
  <c r="L85" i="2"/>
  <c r="M85" i="2" s="1"/>
  <c r="K85" i="2"/>
  <c r="L84" i="2"/>
  <c r="M84" i="2" s="1"/>
  <c r="K84" i="2"/>
  <c r="L83" i="2"/>
  <c r="M83" i="2" s="1"/>
  <c r="K83" i="2"/>
  <c r="L82" i="2"/>
  <c r="M82" i="2" s="1"/>
  <c r="K82" i="2"/>
  <c r="L81" i="2"/>
  <c r="M81" i="2" s="1"/>
  <c r="K81" i="2"/>
  <c r="M80" i="2"/>
  <c r="K80" i="2"/>
  <c r="M79" i="2"/>
  <c r="K79" i="2"/>
  <c r="M78" i="2"/>
  <c r="K78" i="2"/>
  <c r="L77" i="2"/>
  <c r="M77" i="2" s="1"/>
  <c r="K77" i="2"/>
  <c r="L76" i="2"/>
  <c r="M76" i="2" s="1"/>
  <c r="K76" i="2"/>
  <c r="L75" i="2"/>
  <c r="M75" i="2" s="1"/>
  <c r="K75" i="2"/>
  <c r="L74" i="2"/>
  <c r="M74" i="2" s="1"/>
  <c r="K74" i="2"/>
  <c r="L73" i="2"/>
  <c r="M73" i="2" s="1"/>
  <c r="K73" i="2"/>
  <c r="L72" i="2"/>
  <c r="M72" i="2" s="1"/>
  <c r="K72" i="2"/>
  <c r="L71" i="2"/>
  <c r="M71" i="2" s="1"/>
  <c r="K71" i="2"/>
  <c r="L70" i="2"/>
  <c r="M70" i="2" s="1"/>
  <c r="K70" i="2"/>
  <c r="L69" i="2"/>
  <c r="M69" i="2" s="1"/>
  <c r="K69" i="2"/>
  <c r="L68" i="2"/>
  <c r="M68" i="2" s="1"/>
  <c r="K68" i="2"/>
  <c r="L67" i="2"/>
  <c r="M67" i="2" s="1"/>
  <c r="K67" i="2"/>
  <c r="L66" i="2"/>
  <c r="M66" i="2" s="1"/>
  <c r="K66" i="2"/>
  <c r="L65" i="2"/>
  <c r="M65" i="2" s="1"/>
  <c r="K65" i="2"/>
  <c r="L64" i="2"/>
  <c r="M64" i="2" s="1"/>
  <c r="K64" i="2"/>
  <c r="L63" i="2"/>
  <c r="M63" i="2" s="1"/>
  <c r="K63" i="2"/>
  <c r="L62" i="2"/>
  <c r="M62" i="2" s="1"/>
  <c r="K62" i="2"/>
  <c r="L61" i="2"/>
  <c r="M61" i="2" s="1"/>
  <c r="K61" i="2"/>
  <c r="L60" i="2"/>
  <c r="M60" i="2" s="1"/>
  <c r="K60" i="2"/>
  <c r="L59" i="2"/>
  <c r="M59" i="2" s="1"/>
  <c r="K59" i="2"/>
  <c r="L58" i="2"/>
  <c r="M58" i="2" s="1"/>
  <c r="K58" i="2"/>
  <c r="L57" i="2"/>
  <c r="M57" i="2" s="1"/>
  <c r="K57" i="2"/>
  <c r="L56" i="2"/>
  <c r="M56" i="2" s="1"/>
  <c r="K56" i="2"/>
  <c r="L55" i="2"/>
  <c r="M55" i="2" s="1"/>
  <c r="K55" i="2"/>
  <c r="L54" i="2"/>
  <c r="M54" i="2" s="1"/>
  <c r="K54" i="2"/>
  <c r="L53" i="2"/>
  <c r="M53" i="2" s="1"/>
  <c r="K53" i="2"/>
  <c r="L52" i="2"/>
  <c r="M52" i="2" s="1"/>
  <c r="K52" i="2"/>
  <c r="L51" i="2"/>
  <c r="M51" i="2" s="1"/>
  <c r="K51" i="2"/>
  <c r="L50" i="2"/>
  <c r="M50" i="2" s="1"/>
  <c r="K50" i="2"/>
  <c r="L49" i="2"/>
  <c r="M49" i="2" s="1"/>
  <c r="K49" i="2"/>
  <c r="L48" i="2"/>
  <c r="M48" i="2" s="1"/>
  <c r="K48" i="2"/>
  <c r="L47" i="2"/>
  <c r="M47" i="2" s="1"/>
  <c r="K47" i="2"/>
  <c r="L46" i="2"/>
  <c r="M46" i="2" s="1"/>
  <c r="K46" i="2"/>
  <c r="L45" i="2"/>
  <c r="M45" i="2" s="1"/>
  <c r="K45" i="2"/>
  <c r="L44" i="2"/>
  <c r="M44" i="2" s="1"/>
  <c r="K44" i="2"/>
  <c r="L43" i="2"/>
  <c r="M43" i="2" s="1"/>
  <c r="K43" i="2"/>
  <c r="L42" i="2"/>
  <c r="M42" i="2" s="1"/>
  <c r="K42" i="2"/>
  <c r="L41" i="2"/>
  <c r="M41" i="2" s="1"/>
  <c r="K41" i="2"/>
  <c r="L40" i="2"/>
  <c r="M40" i="2" s="1"/>
  <c r="K40" i="2"/>
  <c r="L39" i="2"/>
  <c r="M39" i="2" s="1"/>
  <c r="K39" i="2"/>
  <c r="L38" i="2"/>
  <c r="M38" i="2" s="1"/>
  <c r="K38" i="2"/>
  <c r="L37" i="2"/>
  <c r="M37" i="2" s="1"/>
  <c r="K37" i="2"/>
  <c r="L36" i="2"/>
  <c r="M36" i="2" s="1"/>
  <c r="K36" i="2"/>
  <c r="L35" i="2"/>
  <c r="M35" i="2" s="1"/>
  <c r="K35" i="2"/>
  <c r="L34" i="2"/>
  <c r="M34" i="2" s="1"/>
  <c r="K34" i="2"/>
  <c r="L33" i="2"/>
  <c r="M33" i="2" s="1"/>
  <c r="K33" i="2"/>
  <c r="L32" i="2"/>
  <c r="M32" i="2" s="1"/>
  <c r="K32" i="2"/>
  <c r="L31" i="2"/>
  <c r="M31" i="2" s="1"/>
  <c r="K31" i="2"/>
  <c r="L30" i="2"/>
  <c r="M30" i="2" s="1"/>
  <c r="K30" i="2"/>
  <c r="L29" i="2"/>
  <c r="M29" i="2" s="1"/>
  <c r="K29" i="2"/>
  <c r="L28" i="2"/>
  <c r="M28" i="2" s="1"/>
  <c r="K28" i="2"/>
  <c r="L27" i="2"/>
  <c r="M27" i="2" s="1"/>
  <c r="K27" i="2"/>
  <c r="L26" i="2"/>
  <c r="M26" i="2" s="1"/>
  <c r="K26" i="2"/>
  <c r="L25" i="2"/>
  <c r="M25" i="2" s="1"/>
  <c r="K25" i="2"/>
  <c r="L24" i="2"/>
  <c r="M24" i="2" s="1"/>
  <c r="K24" i="2"/>
  <c r="L23" i="2"/>
  <c r="M23" i="2" s="1"/>
  <c r="K23" i="2"/>
  <c r="L22" i="2"/>
  <c r="M22" i="2" s="1"/>
  <c r="K22" i="2"/>
  <c r="L21" i="2"/>
  <c r="M21" i="2" s="1"/>
  <c r="K21" i="2"/>
  <c r="L20" i="2"/>
  <c r="M20" i="2" s="1"/>
  <c r="K20" i="2"/>
  <c r="L19" i="2"/>
  <c r="M19" i="2" s="1"/>
  <c r="K19" i="2"/>
  <c r="L18" i="2"/>
  <c r="M18" i="2" s="1"/>
  <c r="K18" i="2"/>
  <c r="L17" i="2"/>
  <c r="M17" i="2" s="1"/>
  <c r="K17" i="2"/>
  <c r="L16" i="2"/>
  <c r="M16" i="2" s="1"/>
  <c r="K16" i="2"/>
  <c r="L15" i="2"/>
  <c r="M15" i="2" s="1"/>
  <c r="K15" i="2"/>
  <c r="L14" i="2"/>
  <c r="M14" i="2" s="1"/>
  <c r="K14" i="2"/>
  <c r="L13" i="2"/>
  <c r="M13" i="2" s="1"/>
  <c r="K13" i="2"/>
  <c r="L12" i="2"/>
  <c r="M12" i="2" s="1"/>
  <c r="K12" i="2"/>
  <c r="L11" i="2"/>
  <c r="M11" i="2" s="1"/>
  <c r="K11" i="2"/>
  <c r="L10" i="2"/>
  <c r="M10" i="2" s="1"/>
  <c r="K10" i="2"/>
  <c r="L9" i="2"/>
  <c r="M9" i="2" s="1"/>
  <c r="K9" i="2"/>
  <c r="L8" i="2"/>
  <c r="M8" i="2" s="1"/>
  <c r="K8" i="2"/>
  <c r="L7" i="2"/>
  <c r="M7" i="2" s="1"/>
  <c r="K7" i="2"/>
  <c r="L6" i="2"/>
  <c r="M6" i="2" s="1"/>
  <c r="K6" i="2"/>
  <c r="L5" i="2"/>
  <c r="M5" i="2" s="1"/>
  <c r="K5" i="2"/>
  <c r="L4" i="2"/>
  <c r="M4" i="2" s="1"/>
  <c r="K4" i="2"/>
  <c r="L3" i="2"/>
  <c r="M3" i="2" s="1"/>
  <c r="K3" i="2"/>
  <c r="L2" i="2"/>
  <c r="M2" i="2" s="1"/>
  <c r="K2" i="2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K96" i="1"/>
  <c r="L95" i="1"/>
  <c r="M95" i="1" s="1"/>
  <c r="K95" i="1"/>
  <c r="L94" i="1"/>
  <c r="M94" i="1" s="1"/>
  <c r="K94" i="1"/>
  <c r="L93" i="1"/>
  <c r="M93" i="1" s="1"/>
  <c r="K93" i="1"/>
  <c r="L92" i="1"/>
  <c r="M92" i="1" s="1"/>
  <c r="K92" i="1"/>
  <c r="L91" i="1"/>
  <c r="M91" i="1" s="1"/>
  <c r="K91" i="1"/>
  <c r="L90" i="1"/>
  <c r="M90" i="1" s="1"/>
  <c r="K90" i="1"/>
  <c r="L89" i="1"/>
  <c r="M89" i="1" s="1"/>
  <c r="K89" i="1"/>
  <c r="L88" i="1"/>
  <c r="M88" i="1" s="1"/>
  <c r="K88" i="1"/>
  <c r="L87" i="1"/>
  <c r="M87" i="1" s="1"/>
  <c r="K87" i="1"/>
  <c r="L86" i="1"/>
  <c r="M86" i="1" s="1"/>
  <c r="K86" i="1"/>
  <c r="L85" i="1"/>
  <c r="M85" i="1" s="1"/>
  <c r="K85" i="1"/>
  <c r="L84" i="1"/>
  <c r="M84" i="1" s="1"/>
  <c r="K84" i="1"/>
  <c r="L83" i="1"/>
  <c r="M83" i="1" s="1"/>
  <c r="K83" i="1"/>
  <c r="L82" i="1"/>
  <c r="M82" i="1" s="1"/>
  <c r="K82" i="1"/>
  <c r="L81" i="1"/>
  <c r="M81" i="1" s="1"/>
  <c r="K81" i="1"/>
  <c r="L80" i="1"/>
  <c r="M80" i="1" s="1"/>
  <c r="K80" i="1"/>
  <c r="L79" i="1"/>
  <c r="M79" i="1" s="1"/>
  <c r="K79" i="1"/>
  <c r="L78" i="1"/>
  <c r="M78" i="1" s="1"/>
  <c r="K78" i="1"/>
  <c r="L77" i="1"/>
  <c r="M77" i="1" s="1"/>
  <c r="K77" i="1"/>
  <c r="L76" i="1"/>
  <c r="M76" i="1" s="1"/>
  <c r="K76" i="1"/>
  <c r="L75" i="1"/>
  <c r="M75" i="1" s="1"/>
  <c r="K75" i="1"/>
  <c r="L74" i="1"/>
  <c r="M74" i="1" s="1"/>
  <c r="K74" i="1"/>
  <c r="L73" i="1"/>
  <c r="M73" i="1" s="1"/>
  <c r="K73" i="1"/>
  <c r="L72" i="1"/>
  <c r="M72" i="1" s="1"/>
  <c r="K72" i="1"/>
  <c r="L71" i="1"/>
  <c r="M71" i="1" s="1"/>
  <c r="K71" i="1"/>
  <c r="L70" i="1"/>
  <c r="M70" i="1" s="1"/>
  <c r="K70" i="1"/>
  <c r="L69" i="1"/>
  <c r="M69" i="1" s="1"/>
  <c r="K69" i="1"/>
  <c r="L68" i="1"/>
  <c r="M68" i="1" s="1"/>
  <c r="K68" i="1"/>
  <c r="L67" i="1"/>
  <c r="M67" i="1" s="1"/>
  <c r="K67" i="1"/>
  <c r="L66" i="1"/>
  <c r="M66" i="1" s="1"/>
  <c r="K66" i="1"/>
  <c r="L65" i="1"/>
  <c r="M65" i="1" s="1"/>
  <c r="K65" i="1"/>
  <c r="L64" i="1"/>
  <c r="M64" i="1" s="1"/>
  <c r="K64" i="1"/>
  <c r="L63" i="1"/>
  <c r="M63" i="1" s="1"/>
  <c r="K63" i="1"/>
  <c r="L62" i="1"/>
  <c r="M62" i="1" s="1"/>
  <c r="K62" i="1"/>
  <c r="L61" i="1"/>
  <c r="M61" i="1" s="1"/>
  <c r="K61" i="1"/>
  <c r="L60" i="1"/>
  <c r="M60" i="1" s="1"/>
  <c r="K60" i="1"/>
  <c r="L59" i="1"/>
  <c r="M59" i="1" s="1"/>
  <c r="K59" i="1"/>
  <c r="L58" i="1"/>
  <c r="M58" i="1" s="1"/>
  <c r="K58" i="1"/>
  <c r="L57" i="1"/>
  <c r="M57" i="1" s="1"/>
  <c r="K57" i="1"/>
  <c r="L56" i="1"/>
  <c r="M56" i="1" s="1"/>
  <c r="K56" i="1"/>
  <c r="L55" i="1"/>
  <c r="M55" i="1" s="1"/>
  <c r="K55" i="1"/>
  <c r="L54" i="1"/>
  <c r="M54" i="1" s="1"/>
  <c r="K54" i="1"/>
  <c r="L53" i="1"/>
  <c r="M53" i="1" s="1"/>
  <c r="K53" i="1"/>
  <c r="L52" i="1"/>
  <c r="M52" i="1" s="1"/>
  <c r="K52" i="1"/>
  <c r="L51" i="1"/>
  <c r="M51" i="1" s="1"/>
  <c r="K51" i="1"/>
  <c r="L50" i="1"/>
  <c r="M50" i="1" s="1"/>
  <c r="K50" i="1"/>
  <c r="L49" i="1"/>
  <c r="M49" i="1" s="1"/>
  <c r="K49" i="1"/>
  <c r="L48" i="1"/>
  <c r="M48" i="1" s="1"/>
  <c r="K48" i="1"/>
  <c r="L47" i="1"/>
  <c r="M47" i="1" s="1"/>
  <c r="K47" i="1"/>
  <c r="L46" i="1"/>
  <c r="M46" i="1" s="1"/>
  <c r="K46" i="1"/>
  <c r="L45" i="1"/>
  <c r="M45" i="1" s="1"/>
  <c r="K45" i="1"/>
  <c r="L44" i="1"/>
  <c r="M44" i="1" s="1"/>
  <c r="K44" i="1"/>
  <c r="L43" i="1"/>
  <c r="M43" i="1" s="1"/>
  <c r="K43" i="1"/>
  <c r="L42" i="1"/>
  <c r="M42" i="1" s="1"/>
  <c r="K42" i="1"/>
  <c r="L41" i="1"/>
  <c r="M41" i="1" s="1"/>
  <c r="K41" i="1"/>
  <c r="L40" i="1"/>
  <c r="M40" i="1" s="1"/>
  <c r="K40" i="1"/>
  <c r="L39" i="1"/>
  <c r="M39" i="1" s="1"/>
  <c r="K39" i="1"/>
  <c r="L38" i="1"/>
  <c r="M38" i="1" s="1"/>
  <c r="K38" i="1"/>
  <c r="L37" i="1"/>
  <c r="M37" i="1" s="1"/>
  <c r="K37" i="1"/>
  <c r="L36" i="1"/>
  <c r="M36" i="1" s="1"/>
  <c r="K36" i="1"/>
  <c r="L35" i="1"/>
  <c r="M35" i="1" s="1"/>
  <c r="K35" i="1"/>
  <c r="L34" i="1"/>
  <c r="M34" i="1" s="1"/>
  <c r="K34" i="1"/>
  <c r="L33" i="1"/>
  <c r="M33" i="1" s="1"/>
  <c r="K33" i="1"/>
  <c r="L32" i="1"/>
  <c r="M32" i="1" s="1"/>
  <c r="K32" i="1"/>
  <c r="L31" i="1"/>
  <c r="M31" i="1" s="1"/>
  <c r="K31" i="1"/>
  <c r="L30" i="1"/>
  <c r="M30" i="1" s="1"/>
  <c r="K30" i="1"/>
  <c r="L29" i="1"/>
  <c r="M29" i="1" s="1"/>
  <c r="K29" i="1"/>
  <c r="L28" i="1"/>
  <c r="M28" i="1" s="1"/>
  <c r="K28" i="1"/>
  <c r="L27" i="1"/>
  <c r="M27" i="1" s="1"/>
  <c r="K27" i="1"/>
  <c r="L26" i="1"/>
  <c r="M26" i="1" s="1"/>
  <c r="K26" i="1"/>
  <c r="L25" i="1"/>
  <c r="M25" i="1" s="1"/>
  <c r="K25" i="1"/>
  <c r="L24" i="1"/>
  <c r="M24" i="1" s="1"/>
  <c r="K24" i="1"/>
  <c r="L23" i="1"/>
  <c r="M23" i="1" s="1"/>
  <c r="K23" i="1"/>
  <c r="L22" i="1"/>
  <c r="M22" i="1" s="1"/>
  <c r="K22" i="1"/>
  <c r="L21" i="1"/>
  <c r="M21" i="1" s="1"/>
  <c r="K21" i="1"/>
  <c r="L20" i="1"/>
  <c r="M20" i="1" s="1"/>
  <c r="K20" i="1"/>
  <c r="L19" i="1"/>
  <c r="M19" i="1" s="1"/>
  <c r="K19" i="1"/>
  <c r="L18" i="1"/>
  <c r="M18" i="1" s="1"/>
  <c r="K18" i="1"/>
  <c r="L17" i="1"/>
  <c r="M17" i="1" s="1"/>
  <c r="K17" i="1"/>
  <c r="L16" i="1"/>
  <c r="M16" i="1" s="1"/>
  <c r="K16" i="1"/>
  <c r="L15" i="1"/>
  <c r="M15" i="1" s="1"/>
  <c r="K15" i="1"/>
  <c r="L14" i="1"/>
  <c r="M14" i="1" s="1"/>
  <c r="K14" i="1"/>
  <c r="L13" i="1"/>
  <c r="M13" i="1" s="1"/>
  <c r="K13" i="1"/>
  <c r="L12" i="1"/>
  <c r="M12" i="1" s="1"/>
  <c r="K12" i="1"/>
  <c r="L11" i="1"/>
  <c r="M11" i="1" s="1"/>
  <c r="K11" i="1"/>
  <c r="L10" i="1"/>
  <c r="M10" i="1" s="1"/>
  <c r="K10" i="1"/>
  <c r="L9" i="1"/>
  <c r="M9" i="1" s="1"/>
  <c r="K9" i="1"/>
  <c r="L8" i="1"/>
  <c r="M8" i="1" s="1"/>
  <c r="K8" i="1"/>
  <c r="L7" i="1"/>
  <c r="M7" i="1" s="1"/>
  <c r="K7" i="1"/>
  <c r="L6" i="1"/>
  <c r="M6" i="1" s="1"/>
  <c r="K6" i="1"/>
  <c r="L5" i="1"/>
  <c r="M5" i="1" s="1"/>
  <c r="K5" i="1"/>
  <c r="L4" i="1"/>
  <c r="M4" i="1" s="1"/>
  <c r="K4" i="1"/>
  <c r="L3" i="1"/>
  <c r="M3" i="1" s="1"/>
  <c r="K3" i="1"/>
  <c r="L2" i="1"/>
  <c r="M2" i="1" s="1"/>
  <c r="K2" i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K96" i="4"/>
  <c r="L95" i="4"/>
  <c r="M95" i="4" s="1"/>
  <c r="K95" i="4"/>
  <c r="L94" i="4"/>
  <c r="M94" i="4" s="1"/>
  <c r="K94" i="4"/>
  <c r="L93" i="4"/>
  <c r="M93" i="4" s="1"/>
  <c r="K93" i="4"/>
  <c r="L92" i="4"/>
  <c r="M92" i="4" s="1"/>
  <c r="K92" i="4"/>
  <c r="L91" i="4"/>
  <c r="M91" i="4" s="1"/>
  <c r="K91" i="4"/>
  <c r="L90" i="4"/>
  <c r="M90" i="4" s="1"/>
  <c r="K90" i="4"/>
  <c r="L89" i="4"/>
  <c r="M89" i="4" s="1"/>
  <c r="K89" i="4"/>
  <c r="L88" i="4"/>
  <c r="M88" i="4" s="1"/>
  <c r="K88" i="4"/>
  <c r="L87" i="4"/>
  <c r="M87" i="4" s="1"/>
  <c r="K87" i="4"/>
  <c r="L86" i="4"/>
  <c r="M86" i="4" s="1"/>
  <c r="K86" i="4"/>
  <c r="L85" i="4"/>
  <c r="M85" i="4" s="1"/>
  <c r="K85" i="4"/>
  <c r="L84" i="4"/>
  <c r="M84" i="4" s="1"/>
  <c r="K84" i="4"/>
  <c r="L83" i="4"/>
  <c r="M83" i="4" s="1"/>
  <c r="K83" i="4"/>
  <c r="L82" i="4"/>
  <c r="M82" i="4" s="1"/>
  <c r="K82" i="4"/>
  <c r="L81" i="4"/>
  <c r="M81" i="4" s="1"/>
  <c r="K81" i="4"/>
  <c r="L80" i="4"/>
  <c r="M80" i="4" s="1"/>
  <c r="K80" i="4"/>
  <c r="L79" i="4"/>
  <c r="M79" i="4" s="1"/>
  <c r="K79" i="4"/>
  <c r="L78" i="4"/>
  <c r="M78" i="4" s="1"/>
  <c r="K78" i="4"/>
  <c r="L77" i="4"/>
  <c r="M77" i="4" s="1"/>
  <c r="K77" i="4"/>
  <c r="L76" i="4"/>
  <c r="M76" i="4" s="1"/>
  <c r="K76" i="4"/>
  <c r="L75" i="4"/>
  <c r="M75" i="4" s="1"/>
  <c r="K75" i="4"/>
  <c r="L74" i="4"/>
  <c r="M74" i="4" s="1"/>
  <c r="K74" i="4"/>
  <c r="L73" i="4"/>
  <c r="M73" i="4" s="1"/>
  <c r="K73" i="4"/>
  <c r="L72" i="4"/>
  <c r="M72" i="4" s="1"/>
  <c r="K72" i="4"/>
  <c r="L71" i="4"/>
  <c r="M71" i="4" s="1"/>
  <c r="K71" i="4"/>
  <c r="L70" i="4"/>
  <c r="M70" i="4" s="1"/>
  <c r="K70" i="4"/>
  <c r="L69" i="4"/>
  <c r="M69" i="4" s="1"/>
  <c r="K69" i="4"/>
  <c r="L68" i="4"/>
  <c r="M68" i="4" s="1"/>
  <c r="K68" i="4"/>
  <c r="L67" i="4"/>
  <c r="M67" i="4" s="1"/>
  <c r="K67" i="4"/>
  <c r="L66" i="4"/>
  <c r="M66" i="4" s="1"/>
  <c r="K66" i="4"/>
  <c r="L65" i="4"/>
  <c r="M65" i="4" s="1"/>
  <c r="K65" i="4"/>
  <c r="L64" i="4"/>
  <c r="M64" i="4" s="1"/>
  <c r="K64" i="4"/>
  <c r="L63" i="4"/>
  <c r="M63" i="4" s="1"/>
  <c r="K63" i="4"/>
  <c r="L62" i="4"/>
  <c r="M62" i="4" s="1"/>
  <c r="K62" i="4"/>
  <c r="L61" i="4"/>
  <c r="M61" i="4" s="1"/>
  <c r="K61" i="4"/>
  <c r="L60" i="4"/>
  <c r="M60" i="4" s="1"/>
  <c r="K60" i="4"/>
  <c r="L59" i="4"/>
  <c r="M59" i="4" s="1"/>
  <c r="K59" i="4"/>
  <c r="L58" i="4"/>
  <c r="M58" i="4" s="1"/>
  <c r="K58" i="4"/>
  <c r="L57" i="4"/>
  <c r="M57" i="4" s="1"/>
  <c r="K57" i="4"/>
  <c r="L56" i="4"/>
  <c r="M56" i="4" s="1"/>
  <c r="K56" i="4"/>
  <c r="L55" i="4"/>
  <c r="M55" i="4" s="1"/>
  <c r="K55" i="4"/>
  <c r="L54" i="4"/>
  <c r="M54" i="4" s="1"/>
  <c r="K54" i="4"/>
  <c r="L53" i="4"/>
  <c r="M53" i="4" s="1"/>
  <c r="K53" i="4"/>
  <c r="L52" i="4"/>
  <c r="M52" i="4" s="1"/>
  <c r="K52" i="4"/>
  <c r="L51" i="4"/>
  <c r="M51" i="4" s="1"/>
  <c r="K51" i="4"/>
  <c r="L50" i="4"/>
  <c r="M50" i="4" s="1"/>
  <c r="K50" i="4"/>
  <c r="L49" i="4"/>
  <c r="M49" i="4" s="1"/>
  <c r="K49" i="4"/>
  <c r="L48" i="4"/>
  <c r="M48" i="4" s="1"/>
  <c r="K48" i="4"/>
  <c r="L47" i="4"/>
  <c r="M47" i="4" s="1"/>
  <c r="K47" i="4"/>
  <c r="L46" i="4"/>
  <c r="M46" i="4" s="1"/>
  <c r="K46" i="4"/>
  <c r="L45" i="4"/>
  <c r="M45" i="4" s="1"/>
  <c r="K45" i="4"/>
  <c r="L44" i="4"/>
  <c r="M44" i="4" s="1"/>
  <c r="K44" i="4"/>
  <c r="L43" i="4"/>
  <c r="M43" i="4" s="1"/>
  <c r="K43" i="4"/>
  <c r="L42" i="4"/>
  <c r="M42" i="4" s="1"/>
  <c r="K42" i="4"/>
  <c r="L41" i="4"/>
  <c r="M41" i="4" s="1"/>
  <c r="K41" i="4"/>
  <c r="L40" i="4"/>
  <c r="M40" i="4" s="1"/>
  <c r="K40" i="4"/>
  <c r="L39" i="4"/>
  <c r="M39" i="4" s="1"/>
  <c r="K39" i="4"/>
  <c r="L38" i="4"/>
  <c r="M38" i="4" s="1"/>
  <c r="K38" i="4"/>
  <c r="L37" i="4"/>
  <c r="M37" i="4" s="1"/>
  <c r="K37" i="4"/>
  <c r="L36" i="4"/>
  <c r="M36" i="4" s="1"/>
  <c r="K36" i="4"/>
  <c r="L35" i="4"/>
  <c r="M35" i="4" s="1"/>
  <c r="K35" i="4"/>
  <c r="L34" i="4"/>
  <c r="M34" i="4" s="1"/>
  <c r="K34" i="4"/>
  <c r="L33" i="4"/>
  <c r="M33" i="4" s="1"/>
  <c r="K33" i="4"/>
  <c r="L32" i="4"/>
  <c r="M32" i="4" s="1"/>
  <c r="K32" i="4"/>
  <c r="L31" i="4"/>
  <c r="M31" i="4" s="1"/>
  <c r="K31" i="4"/>
  <c r="L30" i="4"/>
  <c r="M30" i="4" s="1"/>
  <c r="K30" i="4"/>
  <c r="L29" i="4"/>
  <c r="M29" i="4" s="1"/>
  <c r="K29" i="4"/>
  <c r="L28" i="4"/>
  <c r="M28" i="4" s="1"/>
  <c r="K28" i="4"/>
  <c r="L27" i="4"/>
  <c r="M27" i="4" s="1"/>
  <c r="K27" i="4"/>
  <c r="L26" i="4"/>
  <c r="M26" i="4" s="1"/>
  <c r="K26" i="4"/>
  <c r="L25" i="4"/>
  <c r="M25" i="4" s="1"/>
  <c r="K25" i="4"/>
  <c r="L24" i="4"/>
  <c r="M24" i="4" s="1"/>
  <c r="K24" i="4"/>
  <c r="L23" i="4"/>
  <c r="M23" i="4" s="1"/>
  <c r="K23" i="4"/>
  <c r="L22" i="4"/>
  <c r="M22" i="4" s="1"/>
  <c r="K22" i="4"/>
  <c r="L21" i="4"/>
  <c r="M21" i="4" s="1"/>
  <c r="K21" i="4"/>
  <c r="L20" i="4"/>
  <c r="M20" i="4" s="1"/>
  <c r="K20" i="4"/>
  <c r="L19" i="4"/>
  <c r="M19" i="4" s="1"/>
  <c r="K19" i="4"/>
  <c r="L18" i="4"/>
  <c r="M18" i="4" s="1"/>
  <c r="K18" i="4"/>
  <c r="L17" i="4"/>
  <c r="M17" i="4" s="1"/>
  <c r="K17" i="4"/>
  <c r="L16" i="4"/>
  <c r="M16" i="4" s="1"/>
  <c r="K16" i="4"/>
  <c r="L15" i="4"/>
  <c r="M15" i="4" s="1"/>
  <c r="K15" i="4"/>
  <c r="L14" i="4"/>
  <c r="M14" i="4" s="1"/>
  <c r="K14" i="4"/>
  <c r="L13" i="4"/>
  <c r="M13" i="4" s="1"/>
  <c r="K13" i="4"/>
  <c r="L12" i="4"/>
  <c r="M12" i="4" s="1"/>
  <c r="K12" i="4"/>
  <c r="L11" i="4"/>
  <c r="M11" i="4" s="1"/>
  <c r="K11" i="4"/>
  <c r="L10" i="4"/>
  <c r="M10" i="4" s="1"/>
  <c r="K10" i="4"/>
  <c r="L9" i="4"/>
  <c r="M9" i="4" s="1"/>
  <c r="K9" i="4"/>
  <c r="L8" i="4"/>
  <c r="M8" i="4" s="1"/>
  <c r="K8" i="4"/>
  <c r="L7" i="4"/>
  <c r="M7" i="4" s="1"/>
  <c r="K7" i="4"/>
  <c r="L6" i="4"/>
  <c r="M6" i="4" s="1"/>
  <c r="K6" i="4"/>
  <c r="L5" i="4"/>
  <c r="M5" i="4" s="1"/>
  <c r="K5" i="4"/>
  <c r="L4" i="4"/>
  <c r="M4" i="4" s="1"/>
  <c r="K4" i="4"/>
  <c r="L3" i="4"/>
  <c r="M3" i="4" s="1"/>
  <c r="K3" i="4"/>
  <c r="L2" i="4"/>
  <c r="M2" i="4" s="1"/>
  <c r="K2" i="4"/>
  <c r="L113" i="17"/>
  <c r="M113" i="17" s="1"/>
  <c r="L112" i="17"/>
  <c r="M112" i="17" s="1"/>
  <c r="L111" i="17"/>
  <c r="M111" i="17" s="1"/>
  <c r="L110" i="17"/>
  <c r="M110" i="17" s="1"/>
  <c r="L109" i="17"/>
  <c r="M109" i="17" s="1"/>
  <c r="L108" i="17"/>
  <c r="M108" i="17" s="1"/>
  <c r="L107" i="17"/>
  <c r="M107" i="17" s="1"/>
  <c r="L106" i="17"/>
  <c r="M106" i="17" s="1"/>
  <c r="L105" i="17"/>
  <c r="M105" i="17" s="1"/>
  <c r="L104" i="17"/>
  <c r="M104" i="17" s="1"/>
  <c r="L103" i="17"/>
  <c r="M103" i="17" s="1"/>
  <c r="L102" i="17"/>
  <c r="M102" i="17" s="1"/>
  <c r="L101" i="17"/>
  <c r="M101" i="17" s="1"/>
  <c r="L100" i="17"/>
  <c r="M100" i="17" s="1"/>
  <c r="L99" i="17"/>
  <c r="M99" i="17" s="1"/>
  <c r="L98" i="17"/>
  <c r="M98" i="17" s="1"/>
  <c r="L97" i="17"/>
  <c r="M97" i="17" s="1"/>
  <c r="L96" i="17"/>
  <c r="M96" i="17" s="1"/>
  <c r="K96" i="17"/>
  <c r="L95" i="17"/>
  <c r="M95" i="17" s="1"/>
  <c r="K95" i="17"/>
  <c r="L94" i="17"/>
  <c r="M94" i="17" s="1"/>
  <c r="K94" i="17"/>
  <c r="L93" i="17"/>
  <c r="M93" i="17" s="1"/>
  <c r="K93" i="17"/>
  <c r="L92" i="17"/>
  <c r="M92" i="17" s="1"/>
  <c r="K92" i="17"/>
  <c r="L91" i="17"/>
  <c r="M91" i="17" s="1"/>
  <c r="K91" i="17"/>
  <c r="L90" i="17"/>
  <c r="M90" i="17" s="1"/>
  <c r="K90" i="17"/>
  <c r="L89" i="17"/>
  <c r="M89" i="17" s="1"/>
  <c r="K89" i="17"/>
  <c r="L88" i="17"/>
  <c r="M88" i="17" s="1"/>
  <c r="K88" i="17"/>
  <c r="L87" i="17"/>
  <c r="M87" i="17" s="1"/>
  <c r="K87" i="17"/>
  <c r="L86" i="17"/>
  <c r="M86" i="17" s="1"/>
  <c r="K86" i="17"/>
  <c r="L85" i="17"/>
  <c r="M85" i="17" s="1"/>
  <c r="K85" i="17"/>
  <c r="L84" i="17"/>
  <c r="M84" i="17" s="1"/>
  <c r="K84" i="17"/>
  <c r="L83" i="17"/>
  <c r="M83" i="17" s="1"/>
  <c r="K83" i="17"/>
  <c r="L82" i="17"/>
  <c r="M82" i="17" s="1"/>
  <c r="K82" i="17"/>
  <c r="L81" i="17"/>
  <c r="M81" i="17" s="1"/>
  <c r="K81" i="17"/>
  <c r="L80" i="17"/>
  <c r="M80" i="17" s="1"/>
  <c r="K80" i="17"/>
  <c r="L79" i="17"/>
  <c r="M79" i="17" s="1"/>
  <c r="K79" i="17"/>
  <c r="L78" i="17"/>
  <c r="M78" i="17" s="1"/>
  <c r="K78" i="17"/>
  <c r="M77" i="17"/>
  <c r="K77" i="17"/>
  <c r="M76" i="17"/>
  <c r="K76" i="17"/>
  <c r="L75" i="17"/>
  <c r="M75" i="17" s="1"/>
  <c r="K75" i="17"/>
  <c r="L74" i="17"/>
  <c r="M74" i="17" s="1"/>
  <c r="K74" i="17"/>
  <c r="L73" i="17"/>
  <c r="M73" i="17" s="1"/>
  <c r="K73" i="17"/>
  <c r="L72" i="17"/>
  <c r="M72" i="17" s="1"/>
  <c r="K72" i="17"/>
  <c r="L71" i="17"/>
  <c r="M71" i="17" s="1"/>
  <c r="K71" i="17"/>
  <c r="L70" i="17"/>
  <c r="M70" i="17" s="1"/>
  <c r="K70" i="17"/>
  <c r="L69" i="17"/>
  <c r="M69" i="17" s="1"/>
  <c r="K69" i="17"/>
  <c r="L68" i="17"/>
  <c r="M68" i="17" s="1"/>
  <c r="K68" i="17"/>
  <c r="L67" i="17"/>
  <c r="M67" i="17" s="1"/>
  <c r="K67" i="17"/>
  <c r="L66" i="17"/>
  <c r="M66" i="17" s="1"/>
  <c r="K66" i="17"/>
  <c r="L65" i="17"/>
  <c r="M65" i="17" s="1"/>
  <c r="K65" i="17"/>
  <c r="L64" i="17"/>
  <c r="M64" i="17" s="1"/>
  <c r="K64" i="17"/>
  <c r="L63" i="17"/>
  <c r="M63" i="17" s="1"/>
  <c r="K63" i="17"/>
  <c r="L62" i="17"/>
  <c r="M62" i="17" s="1"/>
  <c r="K62" i="17"/>
  <c r="L61" i="17"/>
  <c r="M61" i="17" s="1"/>
  <c r="K61" i="17"/>
  <c r="L60" i="17"/>
  <c r="M60" i="17" s="1"/>
  <c r="K60" i="17"/>
  <c r="L59" i="17"/>
  <c r="M59" i="17" s="1"/>
  <c r="K59" i="17"/>
  <c r="L58" i="17"/>
  <c r="M58" i="17" s="1"/>
  <c r="K58" i="17"/>
  <c r="L57" i="17"/>
  <c r="M57" i="17" s="1"/>
  <c r="K57" i="17"/>
  <c r="M56" i="17"/>
  <c r="K56" i="17"/>
  <c r="M55" i="17"/>
  <c r="K55" i="17"/>
  <c r="M54" i="17"/>
  <c r="K54" i="17"/>
  <c r="M53" i="17"/>
  <c r="K53" i="17"/>
  <c r="M52" i="17"/>
  <c r="K52" i="17"/>
  <c r="M51" i="17"/>
  <c r="K51" i="17"/>
  <c r="M50" i="17"/>
  <c r="K50" i="17"/>
  <c r="M49" i="17"/>
  <c r="K49" i="17"/>
  <c r="M48" i="17"/>
  <c r="K48" i="17"/>
  <c r="M47" i="17"/>
  <c r="K47" i="17"/>
  <c r="M46" i="17"/>
  <c r="K46" i="17"/>
  <c r="M45" i="17"/>
  <c r="K45" i="17"/>
  <c r="L44" i="17"/>
  <c r="M44" i="17" s="1"/>
  <c r="K44" i="17"/>
  <c r="L43" i="17"/>
  <c r="M43" i="17" s="1"/>
  <c r="K43" i="17"/>
  <c r="L42" i="17"/>
  <c r="M42" i="17" s="1"/>
  <c r="K42" i="17"/>
  <c r="L41" i="17"/>
  <c r="M41" i="17" s="1"/>
  <c r="K41" i="17"/>
  <c r="L40" i="17"/>
  <c r="M40" i="17" s="1"/>
  <c r="K40" i="17"/>
  <c r="L39" i="17"/>
  <c r="M39" i="17" s="1"/>
  <c r="K39" i="17"/>
  <c r="L38" i="17"/>
  <c r="M38" i="17" s="1"/>
  <c r="K38" i="17"/>
  <c r="L37" i="17"/>
  <c r="M37" i="17" s="1"/>
  <c r="K37" i="17"/>
  <c r="L36" i="17"/>
  <c r="M36" i="17" s="1"/>
  <c r="K36" i="17"/>
  <c r="L35" i="17"/>
  <c r="M35" i="17" s="1"/>
  <c r="K35" i="17"/>
  <c r="L34" i="17"/>
  <c r="M34" i="17" s="1"/>
  <c r="K34" i="17"/>
  <c r="L33" i="17"/>
  <c r="M33" i="17" s="1"/>
  <c r="K33" i="17"/>
  <c r="L32" i="17"/>
  <c r="M32" i="17" s="1"/>
  <c r="K32" i="17"/>
  <c r="L31" i="17"/>
  <c r="M31" i="17" s="1"/>
  <c r="K31" i="17"/>
  <c r="L30" i="17"/>
  <c r="M30" i="17" s="1"/>
  <c r="K30" i="17"/>
  <c r="L29" i="17"/>
  <c r="M29" i="17" s="1"/>
  <c r="K29" i="17"/>
  <c r="L28" i="17"/>
  <c r="M28" i="17" s="1"/>
  <c r="K28" i="17"/>
  <c r="L27" i="17"/>
  <c r="M27" i="17" s="1"/>
  <c r="K27" i="17"/>
  <c r="L26" i="17"/>
  <c r="M26" i="17" s="1"/>
  <c r="K26" i="17"/>
  <c r="L25" i="17"/>
  <c r="M25" i="17" s="1"/>
  <c r="K25" i="17"/>
  <c r="L24" i="17"/>
  <c r="M24" i="17" s="1"/>
  <c r="K24" i="17"/>
  <c r="L23" i="17"/>
  <c r="M23" i="17" s="1"/>
  <c r="K23" i="17"/>
  <c r="L22" i="17"/>
  <c r="M22" i="17" s="1"/>
  <c r="K22" i="17"/>
  <c r="L21" i="17"/>
  <c r="M21" i="17" s="1"/>
  <c r="K21" i="17"/>
  <c r="L20" i="17"/>
  <c r="M20" i="17" s="1"/>
  <c r="K20" i="17"/>
  <c r="L19" i="17"/>
  <c r="M19" i="17" s="1"/>
  <c r="K19" i="17"/>
  <c r="L18" i="17"/>
  <c r="M18" i="17" s="1"/>
  <c r="K18" i="17"/>
  <c r="L17" i="17"/>
  <c r="M17" i="17" s="1"/>
  <c r="K17" i="17"/>
  <c r="L16" i="17"/>
  <c r="M16" i="17" s="1"/>
  <c r="K16" i="17"/>
  <c r="L15" i="17"/>
  <c r="M15" i="17" s="1"/>
  <c r="K15" i="17"/>
  <c r="L14" i="17"/>
  <c r="M14" i="17" s="1"/>
  <c r="K14" i="17"/>
  <c r="L13" i="17"/>
  <c r="M13" i="17" s="1"/>
  <c r="K13" i="17"/>
  <c r="L12" i="17"/>
  <c r="M12" i="17" s="1"/>
  <c r="K12" i="17"/>
  <c r="L11" i="17"/>
  <c r="M11" i="17" s="1"/>
  <c r="K11" i="17"/>
  <c r="L10" i="17"/>
  <c r="M10" i="17" s="1"/>
  <c r="K10" i="17"/>
  <c r="L9" i="17"/>
  <c r="M9" i="17" s="1"/>
  <c r="K9" i="17"/>
  <c r="L8" i="17"/>
  <c r="M8" i="17" s="1"/>
  <c r="K8" i="17"/>
  <c r="L7" i="17"/>
  <c r="M7" i="17" s="1"/>
  <c r="K7" i="17"/>
  <c r="L6" i="17"/>
  <c r="M6" i="17" s="1"/>
  <c r="K6" i="17"/>
  <c r="L5" i="17"/>
  <c r="M5" i="17" s="1"/>
  <c r="K5" i="17"/>
  <c r="L4" i="17"/>
  <c r="M4" i="17" s="1"/>
  <c r="K4" i="17"/>
  <c r="M3" i="17"/>
  <c r="K3" i="17"/>
  <c r="L2" i="17"/>
  <c r="M2" i="17" s="1"/>
  <c r="K2" i="17"/>
  <c r="L112" i="16"/>
  <c r="M112" i="16" s="1"/>
  <c r="L111" i="16"/>
  <c r="M111" i="16" s="1"/>
  <c r="L110" i="16"/>
  <c r="M110" i="16" s="1"/>
  <c r="L109" i="16"/>
  <c r="M109" i="16" s="1"/>
  <c r="L108" i="16"/>
  <c r="M108" i="16" s="1"/>
  <c r="L107" i="16"/>
  <c r="M107" i="16" s="1"/>
  <c r="L106" i="16"/>
  <c r="M106" i="16" s="1"/>
  <c r="L105" i="16"/>
  <c r="M105" i="16" s="1"/>
  <c r="L96" i="16"/>
  <c r="M96" i="16" s="1"/>
  <c r="K96" i="16"/>
  <c r="L95" i="16"/>
  <c r="M95" i="16" s="1"/>
  <c r="K95" i="16"/>
  <c r="L94" i="16"/>
  <c r="M94" i="16" s="1"/>
  <c r="K94" i="16"/>
  <c r="L93" i="16"/>
  <c r="M93" i="16" s="1"/>
  <c r="K93" i="16"/>
  <c r="L92" i="16"/>
  <c r="M92" i="16" s="1"/>
  <c r="K92" i="16"/>
  <c r="L91" i="16"/>
  <c r="M91" i="16" s="1"/>
  <c r="K91" i="16"/>
  <c r="L90" i="16"/>
  <c r="M90" i="16" s="1"/>
  <c r="K90" i="16"/>
  <c r="L89" i="16"/>
  <c r="M89" i="16" s="1"/>
  <c r="K89" i="16"/>
  <c r="L88" i="16"/>
  <c r="M88" i="16" s="1"/>
  <c r="K88" i="16"/>
  <c r="L87" i="16"/>
  <c r="M87" i="16" s="1"/>
  <c r="K87" i="16"/>
  <c r="L86" i="16"/>
  <c r="M86" i="16" s="1"/>
  <c r="K86" i="16"/>
  <c r="L85" i="16"/>
  <c r="M85" i="16" s="1"/>
  <c r="K85" i="16"/>
  <c r="L84" i="16"/>
  <c r="M84" i="16" s="1"/>
  <c r="K84" i="16"/>
  <c r="K83" i="16"/>
  <c r="K82" i="16"/>
  <c r="K81" i="16"/>
  <c r="K80" i="16"/>
  <c r="K79" i="16"/>
  <c r="K78" i="16"/>
  <c r="K77" i="16"/>
  <c r="L76" i="16"/>
  <c r="M76" i="16" s="1"/>
  <c r="K76" i="16"/>
  <c r="L75" i="16"/>
  <c r="M75" i="16" s="1"/>
  <c r="K75" i="16"/>
  <c r="L74" i="16"/>
  <c r="M74" i="16" s="1"/>
  <c r="K74" i="16"/>
  <c r="L73" i="16"/>
  <c r="M73" i="16" s="1"/>
  <c r="K73" i="16"/>
  <c r="L72" i="16"/>
  <c r="M72" i="16" s="1"/>
  <c r="K72" i="16"/>
  <c r="L71" i="16"/>
  <c r="M71" i="16" s="1"/>
  <c r="K71" i="16"/>
  <c r="L70" i="16"/>
  <c r="M70" i="16" s="1"/>
  <c r="K70" i="16"/>
  <c r="L69" i="16"/>
  <c r="M69" i="16" s="1"/>
  <c r="K69" i="16"/>
  <c r="L68" i="16"/>
  <c r="M68" i="16" s="1"/>
  <c r="K68" i="16"/>
  <c r="L67" i="16"/>
  <c r="M67" i="16" s="1"/>
  <c r="K67" i="16"/>
  <c r="L66" i="16"/>
  <c r="M66" i="16" s="1"/>
  <c r="K66" i="16"/>
  <c r="L65" i="16"/>
  <c r="M65" i="16" s="1"/>
  <c r="K65" i="16"/>
  <c r="L64" i="16"/>
  <c r="M64" i="16" s="1"/>
  <c r="K64" i="16"/>
  <c r="L63" i="16"/>
  <c r="M63" i="16" s="1"/>
  <c r="K63" i="16"/>
  <c r="L62" i="16"/>
  <c r="M62" i="16" s="1"/>
  <c r="K62" i="16"/>
  <c r="L61" i="16"/>
  <c r="M61" i="16" s="1"/>
  <c r="K61" i="16"/>
  <c r="L60" i="16"/>
  <c r="M60" i="16" s="1"/>
  <c r="K60" i="16"/>
  <c r="L59" i="16"/>
  <c r="M59" i="16" s="1"/>
  <c r="K59" i="16"/>
  <c r="L58" i="16"/>
  <c r="M58" i="16" s="1"/>
  <c r="K58" i="16"/>
  <c r="L57" i="16"/>
  <c r="M57" i="16" s="1"/>
  <c r="K57" i="16"/>
  <c r="L56" i="16"/>
  <c r="M56" i="16" s="1"/>
  <c r="K56" i="16"/>
  <c r="L55" i="16"/>
  <c r="M55" i="16" s="1"/>
  <c r="K55" i="16"/>
  <c r="L54" i="16"/>
  <c r="M54" i="16" s="1"/>
  <c r="K54" i="16"/>
  <c r="L53" i="16"/>
  <c r="M53" i="16" s="1"/>
  <c r="K53" i="16"/>
  <c r="L52" i="16"/>
  <c r="M52" i="16" s="1"/>
  <c r="K52" i="16"/>
  <c r="L51" i="16"/>
  <c r="M51" i="16" s="1"/>
  <c r="K51" i="16"/>
  <c r="L50" i="16"/>
  <c r="M50" i="16" s="1"/>
  <c r="K50" i="16"/>
  <c r="L49" i="16"/>
  <c r="M49" i="16" s="1"/>
  <c r="K49" i="16"/>
  <c r="L48" i="16"/>
  <c r="M48" i="16" s="1"/>
  <c r="K48" i="16"/>
  <c r="L47" i="16"/>
  <c r="M47" i="16" s="1"/>
  <c r="K47" i="16"/>
  <c r="L46" i="16"/>
  <c r="M46" i="16" s="1"/>
  <c r="K46" i="16"/>
  <c r="L45" i="16"/>
  <c r="M45" i="16" s="1"/>
  <c r="K45" i="16"/>
  <c r="L44" i="16"/>
  <c r="M44" i="16" s="1"/>
  <c r="K44" i="16"/>
  <c r="L43" i="16"/>
  <c r="M43" i="16" s="1"/>
  <c r="K43" i="16"/>
  <c r="L42" i="16"/>
  <c r="M42" i="16" s="1"/>
  <c r="K42" i="16"/>
  <c r="L41" i="16"/>
  <c r="M41" i="16" s="1"/>
  <c r="K41" i="16"/>
  <c r="L40" i="16"/>
  <c r="M40" i="16" s="1"/>
  <c r="K40" i="16"/>
  <c r="L39" i="16"/>
  <c r="M39" i="16" s="1"/>
  <c r="K39" i="16"/>
  <c r="L38" i="16"/>
  <c r="M38" i="16" s="1"/>
  <c r="K38" i="16"/>
  <c r="L37" i="16"/>
  <c r="M37" i="16" s="1"/>
  <c r="K37" i="16"/>
  <c r="L36" i="16"/>
  <c r="M36" i="16" s="1"/>
  <c r="K36" i="16"/>
  <c r="L35" i="16"/>
  <c r="M35" i="16" s="1"/>
  <c r="K35" i="16"/>
  <c r="L34" i="16"/>
  <c r="M34" i="16" s="1"/>
  <c r="K34" i="16"/>
  <c r="L33" i="16"/>
  <c r="M33" i="16" s="1"/>
  <c r="K33" i="16"/>
  <c r="L32" i="16"/>
  <c r="M32" i="16" s="1"/>
  <c r="K32" i="16"/>
  <c r="M31" i="16"/>
  <c r="K31" i="16"/>
  <c r="M30" i="16"/>
  <c r="K30" i="16"/>
  <c r="M29" i="16"/>
  <c r="K29" i="16"/>
  <c r="L28" i="16"/>
  <c r="M28" i="16" s="1"/>
  <c r="K28" i="16"/>
  <c r="L27" i="16"/>
  <c r="M27" i="16" s="1"/>
  <c r="K27" i="16"/>
  <c r="L26" i="16"/>
  <c r="M26" i="16" s="1"/>
  <c r="K26" i="16"/>
  <c r="L25" i="16"/>
  <c r="M25" i="16" s="1"/>
  <c r="K25" i="16"/>
  <c r="L24" i="16"/>
  <c r="M24" i="16" s="1"/>
  <c r="K24" i="16"/>
  <c r="L23" i="16"/>
  <c r="M23" i="16" s="1"/>
  <c r="K23" i="16"/>
  <c r="L22" i="16"/>
  <c r="M22" i="16" s="1"/>
  <c r="K22" i="16"/>
  <c r="L21" i="16"/>
  <c r="M21" i="16" s="1"/>
  <c r="K21" i="16"/>
  <c r="L20" i="16"/>
  <c r="M20" i="16" s="1"/>
  <c r="K20" i="16"/>
  <c r="L19" i="16"/>
  <c r="M19" i="16" s="1"/>
  <c r="K19" i="16"/>
  <c r="L18" i="16"/>
  <c r="M18" i="16" s="1"/>
  <c r="K18" i="16"/>
  <c r="L17" i="16"/>
  <c r="M17" i="16" s="1"/>
  <c r="K17" i="16"/>
  <c r="L16" i="16"/>
  <c r="M16" i="16" s="1"/>
  <c r="K16" i="16"/>
  <c r="L15" i="16"/>
  <c r="M15" i="16" s="1"/>
  <c r="K15" i="16"/>
  <c r="L14" i="16"/>
  <c r="M14" i="16" s="1"/>
  <c r="K14" i="16"/>
  <c r="L13" i="16"/>
  <c r="M13" i="16" s="1"/>
  <c r="K13" i="16"/>
  <c r="L12" i="16"/>
  <c r="M12" i="16" s="1"/>
  <c r="K12" i="16"/>
  <c r="L11" i="16"/>
  <c r="M11" i="16" s="1"/>
  <c r="K11" i="16"/>
  <c r="L10" i="16"/>
  <c r="M10" i="16" s="1"/>
  <c r="K10" i="16"/>
  <c r="L9" i="16"/>
  <c r="M9" i="16" s="1"/>
  <c r="K9" i="16"/>
  <c r="L8" i="16"/>
  <c r="M8" i="16" s="1"/>
  <c r="K8" i="16"/>
  <c r="L7" i="16"/>
  <c r="M7" i="16" s="1"/>
  <c r="K7" i="16"/>
  <c r="L6" i="16"/>
  <c r="M6" i="16" s="1"/>
  <c r="K6" i="16"/>
  <c r="L5" i="16"/>
  <c r="M5" i="16" s="1"/>
  <c r="K5" i="16"/>
  <c r="L4" i="16"/>
  <c r="M4" i="16" s="1"/>
  <c r="K4" i="16"/>
  <c r="L3" i="16"/>
  <c r="M3" i="16" s="1"/>
  <c r="K3" i="16"/>
  <c r="L2" i="16"/>
  <c r="M2" i="16" s="1"/>
  <c r="K2" i="16"/>
  <c r="L113" i="15"/>
  <c r="M113" i="15" s="1"/>
  <c r="L112" i="15"/>
  <c r="M112" i="15" s="1"/>
  <c r="L111" i="15"/>
  <c r="M111" i="15" s="1"/>
  <c r="L110" i="15"/>
  <c r="M110" i="15" s="1"/>
  <c r="L109" i="15"/>
  <c r="M109" i="15" s="1"/>
  <c r="L108" i="15"/>
  <c r="M108" i="15" s="1"/>
  <c r="L107" i="15"/>
  <c r="M107" i="15" s="1"/>
  <c r="L106" i="15"/>
  <c r="M106" i="15" s="1"/>
  <c r="L105" i="15"/>
  <c r="M105" i="15" s="1"/>
  <c r="L104" i="15"/>
  <c r="M104" i="15" s="1"/>
  <c r="L103" i="15"/>
  <c r="M103" i="15" s="1"/>
  <c r="L102" i="15"/>
  <c r="M102" i="15" s="1"/>
  <c r="L101" i="15"/>
  <c r="M101" i="15" s="1"/>
  <c r="L100" i="15"/>
  <c r="M100" i="15" s="1"/>
  <c r="L99" i="15"/>
  <c r="M99" i="15" s="1"/>
  <c r="L98" i="15"/>
  <c r="M98" i="15" s="1"/>
  <c r="L97" i="15"/>
  <c r="M97" i="15" s="1"/>
  <c r="L96" i="15"/>
  <c r="M96" i="15" s="1"/>
  <c r="K96" i="15"/>
  <c r="L95" i="15"/>
  <c r="M95" i="15" s="1"/>
  <c r="K95" i="15"/>
  <c r="L94" i="15"/>
  <c r="M94" i="15" s="1"/>
  <c r="K94" i="15"/>
  <c r="L93" i="15"/>
  <c r="M93" i="15" s="1"/>
  <c r="K93" i="15"/>
  <c r="L92" i="15"/>
  <c r="M92" i="15" s="1"/>
  <c r="K92" i="15"/>
  <c r="L91" i="15"/>
  <c r="M91" i="15" s="1"/>
  <c r="K91" i="15"/>
  <c r="L90" i="15"/>
  <c r="M90" i="15" s="1"/>
  <c r="K90" i="15"/>
  <c r="L89" i="15"/>
  <c r="M89" i="15" s="1"/>
  <c r="K89" i="15"/>
  <c r="L88" i="15"/>
  <c r="M88" i="15" s="1"/>
  <c r="K88" i="15"/>
  <c r="L87" i="15"/>
  <c r="M87" i="15" s="1"/>
  <c r="K87" i="15"/>
  <c r="L86" i="15"/>
  <c r="M86" i="15" s="1"/>
  <c r="K86" i="15"/>
  <c r="L85" i="15"/>
  <c r="M85" i="15" s="1"/>
  <c r="K85" i="15"/>
  <c r="L84" i="15"/>
  <c r="M84" i="15" s="1"/>
  <c r="K84" i="15"/>
  <c r="L83" i="15"/>
  <c r="M83" i="15" s="1"/>
  <c r="K83" i="15"/>
  <c r="L82" i="15"/>
  <c r="M82" i="15" s="1"/>
  <c r="K82" i="15"/>
  <c r="L81" i="15"/>
  <c r="M81" i="15" s="1"/>
  <c r="K81" i="15"/>
  <c r="L80" i="15"/>
  <c r="M80" i="15" s="1"/>
  <c r="K80" i="15"/>
  <c r="L79" i="15"/>
  <c r="M79" i="15" s="1"/>
  <c r="K79" i="15"/>
  <c r="L78" i="15"/>
  <c r="M78" i="15" s="1"/>
  <c r="K78" i="15"/>
  <c r="L77" i="15"/>
  <c r="M77" i="15" s="1"/>
  <c r="K77" i="15"/>
  <c r="L76" i="15"/>
  <c r="M76" i="15" s="1"/>
  <c r="K76" i="15"/>
  <c r="L75" i="15"/>
  <c r="M75" i="15" s="1"/>
  <c r="K75" i="15"/>
  <c r="L74" i="15"/>
  <c r="M74" i="15" s="1"/>
  <c r="K74" i="15"/>
  <c r="L73" i="15"/>
  <c r="M73" i="15" s="1"/>
  <c r="K73" i="15"/>
  <c r="L72" i="15"/>
  <c r="M72" i="15" s="1"/>
  <c r="K72" i="15"/>
  <c r="L71" i="15"/>
  <c r="M71" i="15" s="1"/>
  <c r="K71" i="15"/>
  <c r="L70" i="15"/>
  <c r="M70" i="15" s="1"/>
  <c r="K70" i="15"/>
  <c r="L69" i="15"/>
  <c r="M69" i="15" s="1"/>
  <c r="K69" i="15"/>
  <c r="L68" i="15"/>
  <c r="M68" i="15" s="1"/>
  <c r="K68" i="15"/>
  <c r="L67" i="15"/>
  <c r="M67" i="15" s="1"/>
  <c r="K67" i="15"/>
  <c r="L66" i="15"/>
  <c r="M66" i="15" s="1"/>
  <c r="K66" i="15"/>
  <c r="L65" i="15"/>
  <c r="M65" i="15" s="1"/>
  <c r="K65" i="15"/>
  <c r="L64" i="15"/>
  <c r="M64" i="15" s="1"/>
  <c r="K64" i="15"/>
  <c r="L63" i="15"/>
  <c r="M63" i="15" s="1"/>
  <c r="K63" i="15"/>
  <c r="L62" i="15"/>
  <c r="M62" i="15" s="1"/>
  <c r="K62" i="15"/>
  <c r="L61" i="15"/>
  <c r="M61" i="15" s="1"/>
  <c r="K61" i="15"/>
  <c r="L60" i="15"/>
  <c r="M60" i="15" s="1"/>
  <c r="K60" i="15"/>
  <c r="L59" i="15"/>
  <c r="M59" i="15" s="1"/>
  <c r="K59" i="15"/>
  <c r="L58" i="15"/>
  <c r="M58" i="15" s="1"/>
  <c r="K58" i="15"/>
  <c r="L57" i="15"/>
  <c r="M57" i="15" s="1"/>
  <c r="K57" i="15"/>
  <c r="L56" i="15"/>
  <c r="M56" i="15" s="1"/>
  <c r="K56" i="15"/>
  <c r="L55" i="15"/>
  <c r="M55" i="15" s="1"/>
  <c r="K55" i="15"/>
  <c r="L54" i="15"/>
  <c r="M54" i="15" s="1"/>
  <c r="K54" i="15"/>
  <c r="L53" i="15"/>
  <c r="M53" i="15" s="1"/>
  <c r="K53" i="15"/>
  <c r="L52" i="15"/>
  <c r="M52" i="15" s="1"/>
  <c r="K52" i="15"/>
  <c r="L51" i="15"/>
  <c r="M51" i="15" s="1"/>
  <c r="K51" i="15"/>
  <c r="L50" i="15"/>
  <c r="M50" i="15" s="1"/>
  <c r="K50" i="15"/>
  <c r="L49" i="15"/>
  <c r="M49" i="15" s="1"/>
  <c r="K49" i="15"/>
  <c r="L48" i="15"/>
  <c r="M48" i="15" s="1"/>
  <c r="K48" i="15"/>
  <c r="L47" i="15"/>
  <c r="M47" i="15" s="1"/>
  <c r="K47" i="15"/>
  <c r="L46" i="15"/>
  <c r="M46" i="15" s="1"/>
  <c r="K46" i="15"/>
  <c r="L45" i="15"/>
  <c r="M45" i="15" s="1"/>
  <c r="K45" i="15"/>
  <c r="L44" i="15"/>
  <c r="M44" i="15" s="1"/>
  <c r="K44" i="15"/>
  <c r="L43" i="15"/>
  <c r="M43" i="15" s="1"/>
  <c r="K43" i="15"/>
  <c r="L42" i="15"/>
  <c r="M42" i="15" s="1"/>
  <c r="K42" i="15"/>
  <c r="M41" i="15"/>
  <c r="K41" i="15"/>
  <c r="M40" i="15"/>
  <c r="K40" i="15"/>
  <c r="M39" i="15"/>
  <c r="K39" i="15"/>
  <c r="M38" i="15"/>
  <c r="K38" i="15"/>
  <c r="M37" i="15"/>
  <c r="K37" i="15"/>
  <c r="M36" i="15"/>
  <c r="K36" i="15"/>
  <c r="M35" i="15"/>
  <c r="K35" i="15"/>
  <c r="M34" i="15"/>
  <c r="K34" i="15"/>
  <c r="M33" i="15"/>
  <c r="K33" i="15"/>
  <c r="M32" i="15"/>
  <c r="K32" i="15"/>
  <c r="M31" i="15"/>
  <c r="K31" i="15"/>
  <c r="M30" i="15"/>
  <c r="K30" i="15"/>
  <c r="M29" i="15"/>
  <c r="K29" i="15"/>
  <c r="M28" i="15"/>
  <c r="K28" i="15"/>
  <c r="M27" i="15"/>
  <c r="K27" i="15"/>
  <c r="M26" i="15"/>
  <c r="K26" i="15"/>
  <c r="M25" i="15"/>
  <c r="K25" i="15"/>
  <c r="M24" i="15"/>
  <c r="K24" i="15"/>
  <c r="M23" i="15"/>
  <c r="K23" i="15"/>
  <c r="M22" i="15"/>
  <c r="K22" i="15"/>
  <c r="M21" i="15"/>
  <c r="K21" i="15"/>
  <c r="M20" i="15"/>
  <c r="K20" i="15"/>
  <c r="L19" i="15"/>
  <c r="M19" i="15" s="1"/>
  <c r="K19" i="15"/>
  <c r="L18" i="15"/>
  <c r="M18" i="15" s="1"/>
  <c r="K18" i="15"/>
  <c r="L17" i="15"/>
  <c r="M17" i="15" s="1"/>
  <c r="K17" i="15"/>
  <c r="L16" i="15"/>
  <c r="M16" i="15" s="1"/>
  <c r="K16" i="15"/>
  <c r="L15" i="15"/>
  <c r="M15" i="15" s="1"/>
  <c r="K15" i="15"/>
  <c r="L14" i="15"/>
  <c r="M14" i="15" s="1"/>
  <c r="K14" i="15"/>
  <c r="L13" i="15"/>
  <c r="M13" i="15" s="1"/>
  <c r="K13" i="15"/>
  <c r="L12" i="15"/>
  <c r="M12" i="15" s="1"/>
  <c r="K12" i="15"/>
  <c r="L11" i="15"/>
  <c r="M11" i="15" s="1"/>
  <c r="K11" i="15"/>
  <c r="L10" i="15"/>
  <c r="M10" i="15" s="1"/>
  <c r="K10" i="15"/>
  <c r="L9" i="15"/>
  <c r="M9" i="15" s="1"/>
  <c r="K9" i="15"/>
  <c r="L8" i="15"/>
  <c r="M8" i="15" s="1"/>
  <c r="K8" i="15"/>
  <c r="L7" i="15"/>
  <c r="M7" i="15" s="1"/>
  <c r="K7" i="15"/>
  <c r="L6" i="15"/>
  <c r="M6" i="15" s="1"/>
  <c r="K6" i="15"/>
  <c r="L5" i="15"/>
  <c r="M5" i="15" s="1"/>
  <c r="K5" i="15"/>
  <c r="L4" i="15"/>
  <c r="M4" i="15" s="1"/>
  <c r="K4" i="15"/>
  <c r="L3" i="15"/>
  <c r="M3" i="15" s="1"/>
  <c r="K3" i="15"/>
  <c r="L2" i="15"/>
  <c r="M2" i="15" s="1"/>
  <c r="K2" i="15"/>
  <c r="L113" i="14"/>
  <c r="M113" i="14" s="1"/>
  <c r="L112" i="14"/>
  <c r="M112" i="14" s="1"/>
  <c r="L111" i="14"/>
  <c r="M111" i="14" s="1"/>
  <c r="L110" i="14"/>
  <c r="M110" i="14" s="1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K96" i="14"/>
  <c r="M95" i="14"/>
  <c r="K95" i="14"/>
  <c r="M94" i="14"/>
  <c r="K94" i="14"/>
  <c r="M93" i="14"/>
  <c r="K93" i="14"/>
  <c r="M92" i="14"/>
  <c r="K92" i="14"/>
  <c r="M91" i="14"/>
  <c r="K91" i="14"/>
  <c r="M90" i="14"/>
  <c r="K90" i="14"/>
  <c r="M89" i="14"/>
  <c r="K89" i="14"/>
  <c r="M88" i="14"/>
  <c r="K88" i="14"/>
  <c r="M87" i="14"/>
  <c r="K87" i="14"/>
  <c r="M86" i="14"/>
  <c r="K86" i="14"/>
  <c r="M85" i="14"/>
  <c r="K85" i="14"/>
  <c r="M84" i="14"/>
  <c r="K84" i="14"/>
  <c r="M83" i="14"/>
  <c r="K83" i="14"/>
  <c r="M82" i="14"/>
  <c r="K82" i="14"/>
  <c r="M81" i="14"/>
  <c r="K81" i="14"/>
  <c r="M80" i="14"/>
  <c r="K80" i="14"/>
  <c r="M79" i="14"/>
  <c r="K79" i="14"/>
  <c r="M78" i="14"/>
  <c r="K78" i="14"/>
  <c r="M77" i="14"/>
  <c r="K77" i="14"/>
  <c r="M76" i="14"/>
  <c r="K76" i="14"/>
  <c r="M75" i="14"/>
  <c r="K75" i="14"/>
  <c r="M74" i="14"/>
  <c r="K74" i="14"/>
  <c r="M73" i="14"/>
  <c r="K73" i="14"/>
  <c r="M72" i="14"/>
  <c r="K72" i="14"/>
  <c r="M71" i="14"/>
  <c r="K71" i="14"/>
  <c r="M70" i="14"/>
  <c r="K70" i="14"/>
  <c r="M69" i="14"/>
  <c r="K69" i="14"/>
  <c r="M68" i="14"/>
  <c r="K68" i="14"/>
  <c r="M67" i="14"/>
  <c r="K67" i="14"/>
  <c r="M66" i="14"/>
  <c r="K66" i="14"/>
  <c r="M65" i="14"/>
  <c r="K65" i="14"/>
  <c r="M64" i="14"/>
  <c r="K64" i="14"/>
  <c r="M63" i="14"/>
  <c r="K63" i="14"/>
  <c r="M62" i="14"/>
  <c r="K62" i="14"/>
  <c r="M61" i="14"/>
  <c r="K61" i="14"/>
  <c r="M60" i="14"/>
  <c r="K60" i="14"/>
  <c r="M59" i="14"/>
  <c r="K59" i="14"/>
  <c r="M58" i="14"/>
  <c r="K58" i="14"/>
  <c r="M57" i="14"/>
  <c r="K57" i="14"/>
  <c r="M56" i="14"/>
  <c r="K56" i="14"/>
  <c r="M55" i="14"/>
  <c r="K55" i="14"/>
  <c r="M54" i="14"/>
  <c r="K54" i="14"/>
  <c r="M53" i="14"/>
  <c r="K53" i="14"/>
  <c r="M52" i="14"/>
  <c r="K52" i="14"/>
  <c r="M51" i="14"/>
  <c r="K51" i="14"/>
  <c r="M50" i="14"/>
  <c r="K50" i="14"/>
  <c r="M49" i="14"/>
  <c r="K49" i="14"/>
  <c r="M48" i="14"/>
  <c r="K48" i="14"/>
  <c r="M47" i="14"/>
  <c r="K47" i="14"/>
  <c r="M46" i="14"/>
  <c r="K46" i="14"/>
  <c r="M45" i="14"/>
  <c r="K45" i="14"/>
  <c r="M44" i="14"/>
  <c r="K44" i="14"/>
  <c r="M43" i="14"/>
  <c r="K43" i="14"/>
  <c r="M42" i="14"/>
  <c r="K42" i="14"/>
  <c r="M41" i="14"/>
  <c r="K41" i="14"/>
  <c r="M40" i="14"/>
  <c r="K40" i="14"/>
  <c r="M39" i="14"/>
  <c r="K39" i="14"/>
  <c r="M38" i="14"/>
  <c r="K38" i="14"/>
  <c r="M37" i="14"/>
  <c r="K37" i="14"/>
  <c r="M36" i="14"/>
  <c r="K36" i="14"/>
  <c r="M35" i="14"/>
  <c r="K35" i="14"/>
  <c r="M34" i="14"/>
  <c r="K34" i="14"/>
  <c r="M33" i="14"/>
  <c r="K33" i="14"/>
  <c r="M32" i="14"/>
  <c r="K32" i="14"/>
  <c r="M31" i="14"/>
  <c r="K31" i="14"/>
  <c r="M30" i="14"/>
  <c r="K30" i="14"/>
  <c r="M29" i="14"/>
  <c r="K29" i="14"/>
  <c r="M28" i="14"/>
  <c r="K28" i="14"/>
  <c r="M27" i="14"/>
  <c r="K27" i="14"/>
  <c r="M26" i="14"/>
  <c r="K26" i="14"/>
  <c r="M25" i="14"/>
  <c r="K25" i="14"/>
  <c r="M24" i="14"/>
  <c r="K24" i="14"/>
  <c r="M23" i="14"/>
  <c r="K23" i="14"/>
  <c r="M22" i="14"/>
  <c r="K22" i="14"/>
  <c r="M21" i="14"/>
  <c r="K21" i="14"/>
  <c r="M20" i="14"/>
  <c r="K20" i="14"/>
  <c r="M19" i="14"/>
  <c r="K19" i="14"/>
  <c r="M18" i="14"/>
  <c r="K18" i="14"/>
  <c r="M17" i="14"/>
  <c r="K17" i="14"/>
  <c r="M16" i="14"/>
  <c r="K16" i="14"/>
  <c r="M15" i="14"/>
  <c r="K15" i="14"/>
  <c r="M14" i="14"/>
  <c r="K14" i="14"/>
  <c r="M13" i="14"/>
  <c r="K13" i="14"/>
  <c r="M12" i="14"/>
  <c r="K12" i="14"/>
  <c r="M11" i="14"/>
  <c r="K11" i="14"/>
  <c r="L10" i="14"/>
  <c r="M10" i="14" s="1"/>
  <c r="K10" i="14"/>
  <c r="L9" i="14"/>
  <c r="M9" i="14" s="1"/>
  <c r="K9" i="14"/>
  <c r="L8" i="14"/>
  <c r="M8" i="14" s="1"/>
  <c r="K8" i="14"/>
  <c r="L7" i="14"/>
  <c r="M7" i="14" s="1"/>
  <c r="K7" i="14"/>
  <c r="L6" i="14"/>
  <c r="M6" i="14" s="1"/>
  <c r="K6" i="14"/>
  <c r="L5" i="14"/>
  <c r="M5" i="14" s="1"/>
  <c r="K5" i="14"/>
  <c r="L4" i="14"/>
  <c r="M4" i="14" s="1"/>
  <c r="K4" i="14"/>
  <c r="L3" i="14"/>
  <c r="M3" i="14" s="1"/>
  <c r="K3" i="14"/>
  <c r="L2" i="14"/>
  <c r="M2" i="14" s="1"/>
  <c r="K2" i="14"/>
  <c r="L113" i="13"/>
  <c r="M113" i="13" s="1"/>
  <c r="L112" i="13"/>
  <c r="M112" i="13" s="1"/>
  <c r="L111" i="13"/>
  <c r="M111" i="13" s="1"/>
  <c r="L110" i="13"/>
  <c r="M110" i="13" s="1"/>
  <c r="L109" i="13"/>
  <c r="M109" i="13" s="1"/>
  <c r="L108" i="13"/>
  <c r="M108" i="13" s="1"/>
  <c r="L107" i="13"/>
  <c r="M107" i="13" s="1"/>
  <c r="L106" i="13"/>
  <c r="M106" i="13" s="1"/>
  <c r="L105" i="13"/>
  <c r="M105" i="13" s="1"/>
  <c r="L104" i="13"/>
  <c r="M104" i="13" s="1"/>
  <c r="L103" i="13"/>
  <c r="M103" i="13" s="1"/>
  <c r="L102" i="13"/>
  <c r="M102" i="13" s="1"/>
  <c r="L101" i="13"/>
  <c r="M101" i="13" s="1"/>
  <c r="L100" i="13"/>
  <c r="M100" i="13" s="1"/>
  <c r="L99" i="13"/>
  <c r="M99" i="13" s="1"/>
  <c r="L98" i="13"/>
  <c r="M98" i="13" s="1"/>
  <c r="L97" i="13"/>
  <c r="M97" i="13" s="1"/>
  <c r="L96" i="13"/>
  <c r="M96" i="13" s="1"/>
  <c r="K96" i="13"/>
  <c r="L95" i="13"/>
  <c r="M95" i="13" s="1"/>
  <c r="K95" i="13"/>
  <c r="L94" i="13"/>
  <c r="M94" i="13" s="1"/>
  <c r="K94" i="13"/>
  <c r="L93" i="13"/>
  <c r="M93" i="13" s="1"/>
  <c r="K93" i="13"/>
  <c r="L92" i="13"/>
  <c r="M92" i="13" s="1"/>
  <c r="K92" i="13"/>
  <c r="L91" i="13"/>
  <c r="M91" i="13" s="1"/>
  <c r="K91" i="13"/>
  <c r="L90" i="13"/>
  <c r="M90" i="13" s="1"/>
  <c r="K90" i="13"/>
  <c r="L89" i="13"/>
  <c r="M89" i="13" s="1"/>
  <c r="K89" i="13"/>
  <c r="L88" i="13"/>
  <c r="M88" i="13" s="1"/>
  <c r="K88" i="13"/>
  <c r="L87" i="13"/>
  <c r="M87" i="13" s="1"/>
  <c r="K87" i="13"/>
  <c r="L86" i="13"/>
  <c r="M86" i="13" s="1"/>
  <c r="K86" i="13"/>
  <c r="L85" i="13"/>
  <c r="M85" i="13" s="1"/>
  <c r="K85" i="13"/>
  <c r="L84" i="13"/>
  <c r="M84" i="13" s="1"/>
  <c r="K84" i="13"/>
  <c r="L83" i="13"/>
  <c r="M83" i="13" s="1"/>
  <c r="K83" i="13"/>
  <c r="L82" i="13"/>
  <c r="M82" i="13" s="1"/>
  <c r="K82" i="13"/>
  <c r="L81" i="13"/>
  <c r="M81" i="13" s="1"/>
  <c r="K81" i="13"/>
  <c r="L80" i="13"/>
  <c r="M80" i="13" s="1"/>
  <c r="K80" i="13"/>
  <c r="L79" i="13"/>
  <c r="M79" i="13" s="1"/>
  <c r="K79" i="13"/>
  <c r="L78" i="13"/>
  <c r="M78" i="13" s="1"/>
  <c r="K78" i="13"/>
  <c r="L77" i="13"/>
  <c r="M77" i="13" s="1"/>
  <c r="K77" i="13"/>
  <c r="L76" i="13"/>
  <c r="M76" i="13" s="1"/>
  <c r="K76" i="13"/>
  <c r="L75" i="13"/>
  <c r="M75" i="13" s="1"/>
  <c r="K75" i="13"/>
  <c r="L74" i="13"/>
  <c r="M74" i="13" s="1"/>
  <c r="K74" i="13"/>
  <c r="L73" i="13"/>
  <c r="M73" i="13" s="1"/>
  <c r="K73" i="13"/>
  <c r="L72" i="13"/>
  <c r="M72" i="13" s="1"/>
  <c r="K72" i="13"/>
  <c r="L71" i="13"/>
  <c r="M71" i="13" s="1"/>
  <c r="K71" i="13"/>
  <c r="L70" i="13"/>
  <c r="M70" i="13" s="1"/>
  <c r="K70" i="13"/>
  <c r="L69" i="13"/>
  <c r="M69" i="13" s="1"/>
  <c r="K69" i="13"/>
  <c r="L68" i="13"/>
  <c r="M68" i="13" s="1"/>
  <c r="K68" i="13"/>
  <c r="L67" i="13"/>
  <c r="M67" i="13" s="1"/>
  <c r="K67" i="13"/>
  <c r="L66" i="13"/>
  <c r="M66" i="13" s="1"/>
  <c r="K66" i="13"/>
  <c r="L65" i="13"/>
  <c r="M65" i="13" s="1"/>
  <c r="K65" i="13"/>
  <c r="L64" i="13"/>
  <c r="M64" i="13" s="1"/>
  <c r="K64" i="13"/>
  <c r="L63" i="13"/>
  <c r="M63" i="13" s="1"/>
  <c r="K63" i="13"/>
  <c r="L62" i="13"/>
  <c r="M62" i="13" s="1"/>
  <c r="K62" i="13"/>
  <c r="L61" i="13"/>
  <c r="M61" i="13" s="1"/>
  <c r="K61" i="13"/>
  <c r="L60" i="13"/>
  <c r="M60" i="13" s="1"/>
  <c r="K60" i="13"/>
  <c r="L59" i="13"/>
  <c r="M59" i="13" s="1"/>
  <c r="K59" i="13"/>
  <c r="L58" i="13"/>
  <c r="M58" i="13" s="1"/>
  <c r="K58" i="13"/>
  <c r="L57" i="13"/>
  <c r="M57" i="13" s="1"/>
  <c r="K57" i="13"/>
  <c r="L56" i="13"/>
  <c r="M56" i="13" s="1"/>
  <c r="K56" i="13"/>
  <c r="L55" i="13"/>
  <c r="M55" i="13" s="1"/>
  <c r="K55" i="13"/>
  <c r="L54" i="13"/>
  <c r="M54" i="13" s="1"/>
  <c r="K54" i="13"/>
  <c r="L53" i="13"/>
  <c r="M53" i="13" s="1"/>
  <c r="K53" i="13"/>
  <c r="L52" i="13"/>
  <c r="M52" i="13" s="1"/>
  <c r="K52" i="13"/>
  <c r="L51" i="13"/>
  <c r="M51" i="13" s="1"/>
  <c r="K51" i="13"/>
  <c r="L50" i="13"/>
  <c r="M50" i="13" s="1"/>
  <c r="K50" i="13"/>
  <c r="L49" i="13"/>
  <c r="M49" i="13" s="1"/>
  <c r="K49" i="13"/>
  <c r="L48" i="13"/>
  <c r="M48" i="13" s="1"/>
  <c r="K48" i="13"/>
  <c r="L47" i="13"/>
  <c r="M47" i="13" s="1"/>
  <c r="K47" i="13"/>
  <c r="L46" i="13"/>
  <c r="M46" i="13" s="1"/>
  <c r="K46" i="13"/>
  <c r="L45" i="13"/>
  <c r="M45" i="13" s="1"/>
  <c r="K45" i="13"/>
  <c r="L44" i="13"/>
  <c r="M44" i="13" s="1"/>
  <c r="K44" i="13"/>
  <c r="L43" i="13"/>
  <c r="M43" i="13" s="1"/>
  <c r="K43" i="13"/>
  <c r="L42" i="13"/>
  <c r="M42" i="13" s="1"/>
  <c r="K42" i="13"/>
  <c r="L41" i="13"/>
  <c r="M41" i="13" s="1"/>
  <c r="K41" i="13"/>
  <c r="L40" i="13"/>
  <c r="M40" i="13" s="1"/>
  <c r="K40" i="13"/>
  <c r="L39" i="13"/>
  <c r="M39" i="13" s="1"/>
  <c r="K39" i="13"/>
  <c r="L38" i="13"/>
  <c r="M38" i="13" s="1"/>
  <c r="K38" i="13"/>
  <c r="L37" i="13"/>
  <c r="M37" i="13" s="1"/>
  <c r="K37" i="13"/>
  <c r="L36" i="13"/>
  <c r="M36" i="13" s="1"/>
  <c r="K36" i="13"/>
  <c r="L35" i="13"/>
  <c r="M35" i="13" s="1"/>
  <c r="K35" i="13"/>
  <c r="L34" i="13"/>
  <c r="M34" i="13" s="1"/>
  <c r="K34" i="13"/>
  <c r="L33" i="13"/>
  <c r="M33" i="13" s="1"/>
  <c r="K33" i="13"/>
  <c r="L32" i="13"/>
  <c r="M32" i="13" s="1"/>
  <c r="K32" i="13"/>
  <c r="L31" i="13"/>
  <c r="M31" i="13" s="1"/>
  <c r="K31" i="13"/>
  <c r="L30" i="13"/>
  <c r="M30" i="13" s="1"/>
  <c r="K30" i="13"/>
  <c r="L29" i="13"/>
  <c r="M29" i="13" s="1"/>
  <c r="K29" i="13"/>
  <c r="L28" i="13"/>
  <c r="M28" i="13" s="1"/>
  <c r="K28" i="13"/>
  <c r="L27" i="13"/>
  <c r="M27" i="13" s="1"/>
  <c r="K27" i="13"/>
  <c r="L26" i="13"/>
  <c r="M26" i="13" s="1"/>
  <c r="K26" i="13"/>
  <c r="L25" i="13"/>
  <c r="M25" i="13" s="1"/>
  <c r="K25" i="13"/>
  <c r="L24" i="13"/>
  <c r="M24" i="13" s="1"/>
  <c r="K24" i="13"/>
  <c r="L23" i="13"/>
  <c r="M23" i="13" s="1"/>
  <c r="K23" i="13"/>
  <c r="L22" i="13"/>
  <c r="M22" i="13" s="1"/>
  <c r="K22" i="13"/>
  <c r="L21" i="13"/>
  <c r="M21" i="13" s="1"/>
  <c r="K21" i="13"/>
  <c r="L20" i="13"/>
  <c r="M20" i="13" s="1"/>
  <c r="K20" i="13"/>
  <c r="L19" i="13"/>
  <c r="M19" i="13" s="1"/>
  <c r="K19" i="13"/>
  <c r="L18" i="13"/>
  <c r="M18" i="13" s="1"/>
  <c r="K18" i="13"/>
  <c r="L17" i="13"/>
  <c r="M17" i="13" s="1"/>
  <c r="K17" i="13"/>
  <c r="L16" i="13"/>
  <c r="M16" i="13" s="1"/>
  <c r="K16" i="13"/>
  <c r="L15" i="13"/>
  <c r="M15" i="13" s="1"/>
  <c r="K15" i="13"/>
  <c r="L14" i="13"/>
  <c r="M14" i="13" s="1"/>
  <c r="K14" i="13"/>
  <c r="L13" i="13"/>
  <c r="M13" i="13" s="1"/>
  <c r="K13" i="13"/>
  <c r="L12" i="13"/>
  <c r="M12" i="13" s="1"/>
  <c r="K12" i="13"/>
  <c r="L11" i="13"/>
  <c r="M11" i="13" s="1"/>
  <c r="K11" i="13"/>
  <c r="L10" i="13"/>
  <c r="M10" i="13" s="1"/>
  <c r="K10" i="13"/>
  <c r="L9" i="13"/>
  <c r="M9" i="13" s="1"/>
  <c r="K9" i="13"/>
  <c r="L8" i="13"/>
  <c r="M8" i="13" s="1"/>
  <c r="K8" i="13"/>
  <c r="L7" i="13"/>
  <c r="M7" i="13" s="1"/>
  <c r="K7" i="13"/>
  <c r="L6" i="13"/>
  <c r="M6" i="13" s="1"/>
  <c r="K6" i="13"/>
  <c r="L5" i="13"/>
  <c r="M5" i="13" s="1"/>
  <c r="K5" i="13"/>
  <c r="L4" i="13"/>
  <c r="M4" i="13" s="1"/>
  <c r="K4" i="13"/>
  <c r="L3" i="13"/>
  <c r="M3" i="13" s="1"/>
  <c r="K3" i="13"/>
  <c r="L2" i="13"/>
  <c r="M2" i="13" s="1"/>
  <c r="K2" i="13"/>
  <c r="L113" i="12"/>
  <c r="M113" i="12" s="1"/>
  <c r="L112" i="12"/>
  <c r="M112" i="12" s="1"/>
  <c r="L111" i="12"/>
  <c r="M111" i="12" s="1"/>
  <c r="L110" i="12"/>
  <c r="M110" i="12" s="1"/>
  <c r="L109" i="12"/>
  <c r="M109" i="12" s="1"/>
  <c r="L108" i="12"/>
  <c r="M108" i="12" s="1"/>
  <c r="M107" i="12"/>
  <c r="L106" i="12"/>
  <c r="M106" i="12" s="1"/>
  <c r="L105" i="12"/>
  <c r="M105" i="12" s="1"/>
  <c r="L104" i="12"/>
  <c r="M104" i="12" s="1"/>
  <c r="L103" i="12"/>
  <c r="M103" i="12" s="1"/>
  <c r="L102" i="12"/>
  <c r="M102" i="12" s="1"/>
  <c r="L101" i="12"/>
  <c r="M101" i="12" s="1"/>
  <c r="L100" i="12"/>
  <c r="M100" i="12" s="1"/>
  <c r="L99" i="12"/>
  <c r="M99" i="12" s="1"/>
  <c r="L98" i="12"/>
  <c r="M98" i="12" s="1"/>
  <c r="L97" i="12"/>
  <c r="M97" i="12" s="1"/>
  <c r="L96" i="12"/>
  <c r="M96" i="12" s="1"/>
  <c r="K96" i="12"/>
  <c r="L95" i="12"/>
  <c r="M95" i="12" s="1"/>
  <c r="K95" i="12"/>
  <c r="L94" i="12"/>
  <c r="M94" i="12" s="1"/>
  <c r="K94" i="12"/>
  <c r="L93" i="12"/>
  <c r="M93" i="12" s="1"/>
  <c r="K93" i="12"/>
  <c r="L92" i="12"/>
  <c r="M92" i="12" s="1"/>
  <c r="K92" i="12"/>
  <c r="L91" i="12"/>
  <c r="M91" i="12" s="1"/>
  <c r="K91" i="12"/>
  <c r="L90" i="12"/>
  <c r="M90" i="12" s="1"/>
  <c r="K90" i="12"/>
  <c r="L89" i="12"/>
  <c r="M89" i="12" s="1"/>
  <c r="K89" i="12"/>
  <c r="L88" i="12"/>
  <c r="M88" i="12" s="1"/>
  <c r="K88" i="12"/>
  <c r="L87" i="12"/>
  <c r="M87" i="12" s="1"/>
  <c r="K87" i="12"/>
  <c r="L86" i="12"/>
  <c r="M86" i="12" s="1"/>
  <c r="K86" i="12"/>
  <c r="L85" i="12"/>
  <c r="M85" i="12" s="1"/>
  <c r="K85" i="12"/>
  <c r="L84" i="12"/>
  <c r="M84" i="12" s="1"/>
  <c r="K84" i="12"/>
  <c r="L83" i="12"/>
  <c r="M83" i="12" s="1"/>
  <c r="K83" i="12"/>
  <c r="L82" i="12"/>
  <c r="M82" i="12" s="1"/>
  <c r="K82" i="12"/>
  <c r="L81" i="12"/>
  <c r="M81" i="12" s="1"/>
  <c r="K81" i="12"/>
  <c r="L80" i="12"/>
  <c r="M80" i="12" s="1"/>
  <c r="K80" i="12"/>
  <c r="L79" i="12"/>
  <c r="M79" i="12" s="1"/>
  <c r="K79" i="12"/>
  <c r="L78" i="12"/>
  <c r="M78" i="12" s="1"/>
  <c r="K78" i="12"/>
  <c r="L77" i="12"/>
  <c r="M77" i="12" s="1"/>
  <c r="K77" i="12"/>
  <c r="L76" i="12"/>
  <c r="M76" i="12" s="1"/>
  <c r="K76" i="12"/>
  <c r="L75" i="12"/>
  <c r="M75" i="12" s="1"/>
  <c r="K75" i="12"/>
  <c r="L74" i="12"/>
  <c r="M74" i="12" s="1"/>
  <c r="K74" i="12"/>
  <c r="L73" i="12"/>
  <c r="M73" i="12" s="1"/>
  <c r="K73" i="12"/>
  <c r="L72" i="12"/>
  <c r="M72" i="12" s="1"/>
  <c r="K72" i="12"/>
  <c r="L71" i="12"/>
  <c r="M71" i="12" s="1"/>
  <c r="K71" i="12"/>
  <c r="L70" i="12"/>
  <c r="M70" i="12" s="1"/>
  <c r="K70" i="12"/>
  <c r="L69" i="12"/>
  <c r="M69" i="12" s="1"/>
  <c r="K69" i="12"/>
  <c r="L68" i="12"/>
  <c r="M68" i="12" s="1"/>
  <c r="K68" i="12"/>
  <c r="L67" i="12"/>
  <c r="M67" i="12" s="1"/>
  <c r="K67" i="12"/>
  <c r="L66" i="12"/>
  <c r="M66" i="12" s="1"/>
  <c r="K66" i="12"/>
  <c r="L65" i="12"/>
  <c r="M65" i="12" s="1"/>
  <c r="K65" i="12"/>
  <c r="L64" i="12"/>
  <c r="M64" i="12" s="1"/>
  <c r="K64" i="12"/>
  <c r="L63" i="12"/>
  <c r="M63" i="12" s="1"/>
  <c r="K63" i="12"/>
  <c r="L62" i="12"/>
  <c r="M62" i="12" s="1"/>
  <c r="K62" i="12"/>
  <c r="L61" i="12"/>
  <c r="M61" i="12" s="1"/>
  <c r="K61" i="12"/>
  <c r="L60" i="12"/>
  <c r="M60" i="12" s="1"/>
  <c r="K60" i="12"/>
  <c r="L59" i="12"/>
  <c r="M59" i="12" s="1"/>
  <c r="K59" i="12"/>
  <c r="L58" i="12"/>
  <c r="M58" i="12" s="1"/>
  <c r="K58" i="12"/>
  <c r="L57" i="12"/>
  <c r="M57" i="12" s="1"/>
  <c r="K57" i="12"/>
  <c r="L56" i="12"/>
  <c r="M56" i="12" s="1"/>
  <c r="K56" i="12"/>
  <c r="L55" i="12"/>
  <c r="M55" i="12" s="1"/>
  <c r="K55" i="12"/>
  <c r="L54" i="12"/>
  <c r="M54" i="12" s="1"/>
  <c r="K54" i="12"/>
  <c r="L53" i="12"/>
  <c r="M53" i="12" s="1"/>
  <c r="K53" i="12"/>
  <c r="L52" i="12"/>
  <c r="M52" i="12" s="1"/>
  <c r="K52" i="12"/>
  <c r="L51" i="12"/>
  <c r="M51" i="12" s="1"/>
  <c r="K51" i="12"/>
  <c r="L50" i="12"/>
  <c r="M50" i="12" s="1"/>
  <c r="K50" i="12"/>
  <c r="L49" i="12"/>
  <c r="M49" i="12" s="1"/>
  <c r="K49" i="12"/>
  <c r="L48" i="12"/>
  <c r="M48" i="12" s="1"/>
  <c r="K48" i="12"/>
  <c r="L47" i="12"/>
  <c r="M47" i="12" s="1"/>
  <c r="K47" i="12"/>
  <c r="L46" i="12"/>
  <c r="M46" i="12" s="1"/>
  <c r="K46" i="12"/>
  <c r="L45" i="12"/>
  <c r="M45" i="12" s="1"/>
  <c r="K45" i="12"/>
  <c r="L44" i="12"/>
  <c r="M44" i="12" s="1"/>
  <c r="K44" i="12"/>
  <c r="L43" i="12"/>
  <c r="M43" i="12" s="1"/>
  <c r="K43" i="12"/>
  <c r="L42" i="12"/>
  <c r="M42" i="12" s="1"/>
  <c r="K42" i="12"/>
  <c r="L41" i="12"/>
  <c r="M41" i="12" s="1"/>
  <c r="K41" i="12"/>
  <c r="L40" i="12"/>
  <c r="M40" i="12" s="1"/>
  <c r="K40" i="12"/>
  <c r="L39" i="12"/>
  <c r="M39" i="12" s="1"/>
  <c r="K39" i="12"/>
  <c r="L38" i="12"/>
  <c r="M38" i="12" s="1"/>
  <c r="K38" i="12"/>
  <c r="L37" i="12"/>
  <c r="M37" i="12" s="1"/>
  <c r="K37" i="12"/>
  <c r="L36" i="12"/>
  <c r="M36" i="12" s="1"/>
  <c r="K36" i="12"/>
  <c r="L35" i="12"/>
  <c r="M35" i="12" s="1"/>
  <c r="K35" i="12"/>
  <c r="L34" i="12"/>
  <c r="M34" i="12" s="1"/>
  <c r="K34" i="12"/>
  <c r="L33" i="12"/>
  <c r="M33" i="12" s="1"/>
  <c r="K33" i="12"/>
  <c r="L32" i="12"/>
  <c r="M32" i="12" s="1"/>
  <c r="K32" i="12"/>
  <c r="L31" i="12"/>
  <c r="M31" i="12" s="1"/>
  <c r="K31" i="12"/>
  <c r="L30" i="12"/>
  <c r="M30" i="12" s="1"/>
  <c r="K30" i="12"/>
  <c r="L29" i="12"/>
  <c r="M29" i="12" s="1"/>
  <c r="K29" i="12"/>
  <c r="L28" i="12"/>
  <c r="M28" i="12" s="1"/>
  <c r="K28" i="12"/>
  <c r="L27" i="12"/>
  <c r="M27" i="12" s="1"/>
  <c r="K27" i="12"/>
  <c r="L26" i="12"/>
  <c r="M26" i="12" s="1"/>
  <c r="K26" i="12"/>
  <c r="L25" i="12"/>
  <c r="M25" i="12" s="1"/>
  <c r="K25" i="12"/>
  <c r="L24" i="12"/>
  <c r="M24" i="12" s="1"/>
  <c r="K24" i="12"/>
  <c r="L23" i="12"/>
  <c r="M23" i="12" s="1"/>
  <c r="K23" i="12"/>
  <c r="L22" i="12"/>
  <c r="M22" i="12" s="1"/>
  <c r="K22" i="12"/>
  <c r="L21" i="12"/>
  <c r="M21" i="12" s="1"/>
  <c r="K21" i="12"/>
  <c r="L20" i="12"/>
  <c r="M20" i="12" s="1"/>
  <c r="K20" i="12"/>
  <c r="L19" i="12"/>
  <c r="M19" i="12" s="1"/>
  <c r="K19" i="12"/>
  <c r="L18" i="12"/>
  <c r="M18" i="12" s="1"/>
  <c r="K18" i="12"/>
  <c r="L17" i="12"/>
  <c r="M17" i="12" s="1"/>
  <c r="K17" i="12"/>
  <c r="L16" i="12"/>
  <c r="M16" i="12" s="1"/>
  <c r="K16" i="12"/>
  <c r="L15" i="12"/>
  <c r="M15" i="12" s="1"/>
  <c r="K15" i="12"/>
  <c r="L14" i="12"/>
  <c r="M14" i="12" s="1"/>
  <c r="K14" i="12"/>
  <c r="L13" i="12"/>
  <c r="M13" i="12" s="1"/>
  <c r="K13" i="12"/>
  <c r="L12" i="12"/>
  <c r="M12" i="12" s="1"/>
  <c r="K12" i="12"/>
  <c r="L11" i="12"/>
  <c r="M11" i="12" s="1"/>
  <c r="K11" i="12"/>
  <c r="L10" i="12"/>
  <c r="M10" i="12" s="1"/>
  <c r="K10" i="12"/>
  <c r="L9" i="12"/>
  <c r="M9" i="12" s="1"/>
  <c r="K9" i="12"/>
  <c r="L8" i="12"/>
  <c r="M8" i="12" s="1"/>
  <c r="K8" i="12"/>
  <c r="L7" i="12"/>
  <c r="M7" i="12" s="1"/>
  <c r="K7" i="12"/>
  <c r="L6" i="12"/>
  <c r="M6" i="12" s="1"/>
  <c r="K6" i="12"/>
  <c r="L5" i="12"/>
  <c r="M5" i="12" s="1"/>
  <c r="K5" i="12"/>
  <c r="L4" i="12"/>
  <c r="M4" i="12" s="1"/>
  <c r="K4" i="12"/>
  <c r="L3" i="12"/>
  <c r="M3" i="12" s="1"/>
  <c r="K3" i="12"/>
  <c r="M2" i="12"/>
  <c r="K2" i="12"/>
  <c r="L113" i="11"/>
  <c r="M113" i="11" s="1"/>
  <c r="L112" i="11"/>
  <c r="M112" i="11" s="1"/>
  <c r="L111" i="11"/>
  <c r="M111" i="11" s="1"/>
  <c r="L110" i="11"/>
  <c r="M110" i="11" s="1"/>
  <c r="L109" i="11"/>
  <c r="M109" i="11" s="1"/>
  <c r="L108" i="11"/>
  <c r="M108" i="11" s="1"/>
  <c r="L107" i="11"/>
  <c r="M107" i="11" s="1"/>
  <c r="L106" i="11"/>
  <c r="M106" i="11" s="1"/>
  <c r="L105" i="11"/>
  <c r="M105" i="11" s="1"/>
  <c r="L104" i="11"/>
  <c r="M104" i="11" s="1"/>
  <c r="L103" i="11"/>
  <c r="M103" i="11" s="1"/>
  <c r="L102" i="11"/>
  <c r="M102" i="11" s="1"/>
  <c r="L101" i="11"/>
  <c r="M101" i="11" s="1"/>
  <c r="L100" i="11"/>
  <c r="M100" i="11" s="1"/>
  <c r="L99" i="11"/>
  <c r="M99" i="11" s="1"/>
  <c r="L98" i="11"/>
  <c r="M98" i="11" s="1"/>
  <c r="L97" i="11"/>
  <c r="M97" i="11" s="1"/>
  <c r="L96" i="11"/>
  <c r="M96" i="11" s="1"/>
  <c r="K96" i="11"/>
  <c r="L95" i="11"/>
  <c r="M95" i="11" s="1"/>
  <c r="K95" i="11"/>
  <c r="L94" i="11"/>
  <c r="M94" i="11" s="1"/>
  <c r="K94" i="11"/>
  <c r="L93" i="11"/>
  <c r="M93" i="11" s="1"/>
  <c r="K93" i="11"/>
  <c r="L92" i="11"/>
  <c r="M92" i="11" s="1"/>
  <c r="K92" i="11"/>
  <c r="L91" i="11"/>
  <c r="M91" i="11" s="1"/>
  <c r="K91" i="11"/>
  <c r="L90" i="11"/>
  <c r="M90" i="11" s="1"/>
  <c r="K90" i="11"/>
  <c r="L89" i="11"/>
  <c r="M89" i="11" s="1"/>
  <c r="K89" i="11"/>
  <c r="L88" i="11"/>
  <c r="M88" i="11" s="1"/>
  <c r="K88" i="11"/>
  <c r="L87" i="11"/>
  <c r="M87" i="11" s="1"/>
  <c r="K87" i="11"/>
  <c r="L86" i="11"/>
  <c r="M86" i="11" s="1"/>
  <c r="K86" i="11"/>
  <c r="L85" i="11"/>
  <c r="M85" i="11" s="1"/>
  <c r="K85" i="11"/>
  <c r="L84" i="11"/>
  <c r="M84" i="11" s="1"/>
  <c r="K84" i="11"/>
  <c r="L83" i="11"/>
  <c r="M83" i="11" s="1"/>
  <c r="K83" i="11"/>
  <c r="L82" i="11"/>
  <c r="M82" i="11" s="1"/>
  <c r="K82" i="11"/>
  <c r="L81" i="11"/>
  <c r="M81" i="11" s="1"/>
  <c r="K81" i="11"/>
  <c r="L80" i="11"/>
  <c r="M80" i="11" s="1"/>
  <c r="K80" i="11"/>
  <c r="L79" i="11"/>
  <c r="M79" i="11" s="1"/>
  <c r="K79" i="11"/>
  <c r="L78" i="11"/>
  <c r="M78" i="11" s="1"/>
  <c r="K78" i="11"/>
  <c r="L77" i="11"/>
  <c r="M77" i="11" s="1"/>
  <c r="K77" i="11"/>
  <c r="L76" i="11"/>
  <c r="M76" i="11" s="1"/>
  <c r="K76" i="11"/>
  <c r="L75" i="11"/>
  <c r="M75" i="11" s="1"/>
  <c r="K75" i="11"/>
  <c r="L74" i="11"/>
  <c r="M74" i="11" s="1"/>
  <c r="K74" i="11"/>
  <c r="L73" i="11"/>
  <c r="M73" i="11" s="1"/>
  <c r="K73" i="11"/>
  <c r="L72" i="11"/>
  <c r="M72" i="11" s="1"/>
  <c r="K72" i="11"/>
  <c r="L71" i="11"/>
  <c r="M71" i="11" s="1"/>
  <c r="K71" i="11"/>
  <c r="L70" i="11"/>
  <c r="M70" i="11" s="1"/>
  <c r="K70" i="11"/>
  <c r="L69" i="11"/>
  <c r="M69" i="11" s="1"/>
  <c r="K69" i="11"/>
  <c r="L68" i="11"/>
  <c r="M68" i="11" s="1"/>
  <c r="K68" i="11"/>
  <c r="L67" i="11"/>
  <c r="M67" i="11" s="1"/>
  <c r="K67" i="11"/>
  <c r="L66" i="11"/>
  <c r="M66" i="11" s="1"/>
  <c r="K66" i="11"/>
  <c r="L65" i="11"/>
  <c r="M65" i="11" s="1"/>
  <c r="K65" i="11"/>
  <c r="L64" i="11"/>
  <c r="M64" i="11" s="1"/>
  <c r="K64" i="11"/>
  <c r="L63" i="11"/>
  <c r="M63" i="11" s="1"/>
  <c r="K63" i="11"/>
  <c r="L62" i="11"/>
  <c r="M62" i="11" s="1"/>
  <c r="K62" i="11"/>
  <c r="L61" i="11"/>
  <c r="M61" i="11" s="1"/>
  <c r="K61" i="11"/>
  <c r="L60" i="11"/>
  <c r="M60" i="11" s="1"/>
  <c r="K60" i="11"/>
  <c r="L59" i="11"/>
  <c r="M59" i="11" s="1"/>
  <c r="K59" i="11"/>
  <c r="L58" i="11"/>
  <c r="M58" i="11" s="1"/>
  <c r="K58" i="11"/>
  <c r="L57" i="11"/>
  <c r="M57" i="11" s="1"/>
  <c r="K57" i="11"/>
  <c r="L56" i="11"/>
  <c r="M56" i="11" s="1"/>
  <c r="K56" i="11"/>
  <c r="L55" i="11"/>
  <c r="M55" i="11" s="1"/>
  <c r="K55" i="11"/>
  <c r="L54" i="11"/>
  <c r="M54" i="11" s="1"/>
  <c r="K54" i="11"/>
  <c r="L53" i="11"/>
  <c r="M53" i="11" s="1"/>
  <c r="K53" i="11"/>
  <c r="L52" i="11"/>
  <c r="M52" i="11" s="1"/>
  <c r="K52" i="11"/>
  <c r="L51" i="11"/>
  <c r="M51" i="11" s="1"/>
  <c r="K51" i="11"/>
  <c r="L50" i="11"/>
  <c r="M50" i="11" s="1"/>
  <c r="K50" i="11"/>
  <c r="L49" i="11"/>
  <c r="M49" i="11" s="1"/>
  <c r="K49" i="11"/>
  <c r="L48" i="11"/>
  <c r="M48" i="11" s="1"/>
  <c r="K48" i="11"/>
  <c r="L47" i="11"/>
  <c r="M47" i="11" s="1"/>
  <c r="K47" i="11"/>
  <c r="L46" i="11"/>
  <c r="M46" i="11" s="1"/>
  <c r="K46" i="11"/>
  <c r="L45" i="11"/>
  <c r="M45" i="11" s="1"/>
  <c r="K45" i="11"/>
  <c r="L44" i="11"/>
  <c r="M44" i="11" s="1"/>
  <c r="K44" i="11"/>
  <c r="L43" i="11"/>
  <c r="M43" i="11" s="1"/>
  <c r="K43" i="11"/>
  <c r="L42" i="11"/>
  <c r="M42" i="11" s="1"/>
  <c r="K42" i="11"/>
  <c r="L41" i="11"/>
  <c r="M41" i="11" s="1"/>
  <c r="K41" i="11"/>
  <c r="L40" i="11"/>
  <c r="M40" i="11" s="1"/>
  <c r="K40" i="11"/>
  <c r="L39" i="11"/>
  <c r="M39" i="11" s="1"/>
  <c r="K39" i="11"/>
  <c r="L38" i="11"/>
  <c r="M38" i="11" s="1"/>
  <c r="K38" i="11"/>
  <c r="L37" i="11"/>
  <c r="M37" i="11" s="1"/>
  <c r="K37" i="11"/>
  <c r="L36" i="11"/>
  <c r="M36" i="11" s="1"/>
  <c r="K36" i="11"/>
  <c r="L35" i="11"/>
  <c r="M35" i="11" s="1"/>
  <c r="K35" i="11"/>
  <c r="M34" i="11"/>
  <c r="K34" i="11"/>
  <c r="M33" i="11"/>
  <c r="K33" i="11"/>
  <c r="L32" i="11"/>
  <c r="M32" i="11" s="1"/>
  <c r="K32" i="11"/>
  <c r="L31" i="11"/>
  <c r="M31" i="11" s="1"/>
  <c r="K31" i="11"/>
  <c r="L30" i="11"/>
  <c r="M30" i="11" s="1"/>
  <c r="K30" i="11"/>
  <c r="L29" i="11"/>
  <c r="M29" i="11" s="1"/>
  <c r="K29" i="11"/>
  <c r="L28" i="11"/>
  <c r="M28" i="11" s="1"/>
  <c r="K28" i="11"/>
  <c r="L27" i="11"/>
  <c r="M27" i="11" s="1"/>
  <c r="K27" i="11"/>
  <c r="L26" i="11"/>
  <c r="M26" i="11" s="1"/>
  <c r="K26" i="11"/>
  <c r="L25" i="11"/>
  <c r="M25" i="11" s="1"/>
  <c r="K25" i="11"/>
  <c r="L24" i="11"/>
  <c r="M24" i="11" s="1"/>
  <c r="K24" i="11"/>
  <c r="L23" i="11"/>
  <c r="M23" i="11" s="1"/>
  <c r="K23" i="11"/>
  <c r="M22" i="11"/>
  <c r="K22" i="11"/>
  <c r="L21" i="11"/>
  <c r="M21" i="11" s="1"/>
  <c r="K21" i="11"/>
  <c r="L20" i="11"/>
  <c r="M20" i="11" s="1"/>
  <c r="K20" i="11"/>
  <c r="L19" i="11"/>
  <c r="M19" i="11" s="1"/>
  <c r="K19" i="11"/>
  <c r="L18" i="11"/>
  <c r="M18" i="11" s="1"/>
  <c r="K18" i="11"/>
  <c r="L17" i="11"/>
  <c r="M17" i="11" s="1"/>
  <c r="K17" i="11"/>
  <c r="L16" i="11"/>
  <c r="M16" i="11" s="1"/>
  <c r="K16" i="11"/>
  <c r="L15" i="11"/>
  <c r="M15" i="11" s="1"/>
  <c r="K15" i="11"/>
  <c r="L14" i="11"/>
  <c r="M14" i="11" s="1"/>
  <c r="K14" i="11"/>
  <c r="L13" i="11"/>
  <c r="M13" i="11" s="1"/>
  <c r="K13" i="11"/>
  <c r="L12" i="11"/>
  <c r="M12" i="11" s="1"/>
  <c r="K12" i="11"/>
  <c r="L11" i="11"/>
  <c r="M11" i="11" s="1"/>
  <c r="K11" i="11"/>
  <c r="L10" i="11"/>
  <c r="M10" i="11" s="1"/>
  <c r="K10" i="11"/>
  <c r="L9" i="11"/>
  <c r="M9" i="11" s="1"/>
  <c r="K9" i="11"/>
  <c r="L8" i="11"/>
  <c r="M8" i="11" s="1"/>
  <c r="K8" i="11"/>
  <c r="L7" i="11"/>
  <c r="M7" i="11" s="1"/>
  <c r="K7" i="11"/>
  <c r="L6" i="11"/>
  <c r="M6" i="11" s="1"/>
  <c r="K6" i="11"/>
  <c r="L5" i="11"/>
  <c r="M5" i="11" s="1"/>
  <c r="K5" i="11"/>
  <c r="L4" i="11"/>
  <c r="M4" i="11" s="1"/>
  <c r="K4" i="11"/>
  <c r="L3" i="11"/>
  <c r="M3" i="11" s="1"/>
  <c r="K3" i="11"/>
  <c r="L2" i="11"/>
  <c r="M2" i="11" s="1"/>
  <c r="K2" i="11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L4" i="10"/>
  <c r="L5" i="10"/>
  <c r="L6" i="10"/>
  <c r="L7" i="10"/>
  <c r="L103" i="10"/>
  <c r="L104" i="10"/>
  <c r="L105" i="10"/>
  <c r="L106" i="10"/>
  <c r="L107" i="10"/>
  <c r="L108" i="10"/>
  <c r="L109" i="10"/>
  <c r="L110" i="10"/>
  <c r="L111" i="10"/>
  <c r="L112" i="10"/>
  <c r="L113" i="10"/>
  <c r="G6" i="8" l="1"/>
  <c r="F12" i="8" l="1"/>
  <c r="E12" i="8" l="1"/>
  <c r="M12" i="8" l="1"/>
  <c r="L12" i="8"/>
  <c r="J12" i="8"/>
  <c r="J27" i="8" s="1"/>
  <c r="G12" i="8"/>
  <c r="B12" i="8"/>
  <c r="L2" i="10" l="1"/>
  <c r="M2" i="10" s="1"/>
  <c r="L3" i="10"/>
  <c r="M3" i="10" s="1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9" i="10"/>
  <c r="M60" i="10"/>
  <c r="M61" i="10"/>
  <c r="M62" i="10"/>
  <c r="M63" i="10"/>
  <c r="M64" i="10"/>
  <c r="M65" i="10"/>
  <c r="M73" i="10"/>
  <c r="M74" i="10"/>
  <c r="M75" i="10"/>
  <c r="M76" i="10"/>
  <c r="M109" i="10"/>
  <c r="M110" i="10"/>
  <c r="M111" i="10"/>
  <c r="M112" i="10"/>
  <c r="N26" i="8" l="1"/>
  <c r="M113" i="10" l="1"/>
  <c r="M68" i="10" l="1"/>
  <c r="M69" i="10"/>
  <c r="M70" i="10"/>
  <c r="M71" i="10"/>
  <c r="M72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G5" i="7" l="1"/>
  <c r="M66" i="10" l="1"/>
  <c r="M67" i="10"/>
  <c r="M51" i="10" l="1"/>
  <c r="M52" i="10"/>
  <c r="M53" i="10"/>
  <c r="M54" i="10"/>
  <c r="M55" i="10"/>
  <c r="M56" i="10"/>
  <c r="L10" i="8"/>
  <c r="K10" i="8"/>
  <c r="H10" i="8"/>
  <c r="G10" i="8"/>
  <c r="F10" i="8"/>
  <c r="E10" i="8"/>
  <c r="D10" i="8"/>
  <c r="C10" i="8"/>
  <c r="B10" i="8"/>
  <c r="M10" i="8" l="1"/>
  <c r="M57" i="10" l="1"/>
  <c r="M58" i="10"/>
  <c r="C25" i="9" l="1"/>
  <c r="C76" i="9" s="1"/>
  <c r="C24" i="9"/>
  <c r="C75" i="9" s="1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D21" i="9" l="1"/>
  <c r="E25" i="9"/>
  <c r="E76" i="9" s="1"/>
  <c r="E21" i="9"/>
  <c r="E17" i="9"/>
  <c r="E13" i="9"/>
  <c r="E9" i="9"/>
  <c r="E5" i="9"/>
  <c r="E22" i="9"/>
  <c r="E20" i="9"/>
  <c r="E8" i="9"/>
  <c r="E7" i="9"/>
  <c r="E6" i="9"/>
  <c r="E19" i="9"/>
  <c r="E18" i="9"/>
  <c r="E4" i="9"/>
  <c r="E3" i="9"/>
  <c r="E2" i="9"/>
  <c r="E24" i="9"/>
  <c r="E75" i="9" s="1"/>
  <c r="E16" i="9"/>
  <c r="E15" i="9"/>
  <c r="E14" i="9"/>
  <c r="E23" i="9"/>
  <c r="E12" i="9"/>
  <c r="E11" i="9"/>
  <c r="E10" i="9"/>
  <c r="F22" i="9"/>
  <c r="F18" i="9"/>
  <c r="F14" i="9"/>
  <c r="F10" i="9"/>
  <c r="F6" i="9"/>
  <c r="F2" i="9"/>
  <c r="F23" i="9"/>
  <c r="F19" i="9"/>
  <c r="F25" i="9"/>
  <c r="F76" i="9" s="1"/>
  <c r="F5" i="9"/>
  <c r="F4" i="9"/>
  <c r="F3" i="9"/>
  <c r="F24" i="9"/>
  <c r="F75" i="9" s="1"/>
  <c r="F17" i="9"/>
  <c r="F16" i="9"/>
  <c r="F15" i="9"/>
  <c r="F21" i="9"/>
  <c r="F13" i="9"/>
  <c r="F12" i="9"/>
  <c r="F11" i="9"/>
  <c r="F20" i="9"/>
  <c r="F9" i="9"/>
  <c r="F8" i="9"/>
  <c r="F7" i="9"/>
  <c r="G23" i="9"/>
  <c r="G19" i="9"/>
  <c r="G15" i="9"/>
  <c r="G11" i="9"/>
  <c r="G7" i="9"/>
  <c r="G3" i="9"/>
  <c r="G24" i="9"/>
  <c r="G75" i="9" s="1"/>
  <c r="G20" i="9"/>
  <c r="G22" i="9"/>
  <c r="G18" i="9"/>
  <c r="G17" i="9"/>
  <c r="G16" i="9"/>
  <c r="G2" i="9"/>
  <c r="G8" i="9"/>
  <c r="G21" i="9"/>
  <c r="G14" i="9"/>
  <c r="G13" i="9"/>
  <c r="G12" i="9"/>
  <c r="G10" i="9"/>
  <c r="G9" i="9"/>
  <c r="G25" i="9"/>
  <c r="G76" i="9" s="1"/>
  <c r="G6" i="9"/>
  <c r="G5" i="9"/>
  <c r="G4" i="9"/>
  <c r="H24" i="9"/>
  <c r="H75" i="9" s="1"/>
  <c r="H20" i="9"/>
  <c r="H16" i="9"/>
  <c r="H12" i="9"/>
  <c r="H8" i="9"/>
  <c r="H4" i="9"/>
  <c r="H25" i="9"/>
  <c r="H76" i="9" s="1"/>
  <c r="H21" i="9"/>
  <c r="H19" i="9"/>
  <c r="H15" i="9"/>
  <c r="H14" i="9"/>
  <c r="H13" i="9"/>
  <c r="H11" i="9"/>
  <c r="H10" i="9"/>
  <c r="H9" i="9"/>
  <c r="H23" i="9"/>
  <c r="H7" i="9"/>
  <c r="H6" i="9"/>
  <c r="H5" i="9"/>
  <c r="H22" i="9"/>
  <c r="H18" i="9"/>
  <c r="H17" i="9"/>
  <c r="H3" i="9"/>
  <c r="H2" i="9"/>
  <c r="I25" i="9"/>
  <c r="I76" i="9" s="1"/>
  <c r="I21" i="9"/>
  <c r="I17" i="9"/>
  <c r="I13" i="9"/>
  <c r="I9" i="9"/>
  <c r="I5" i="9"/>
  <c r="I22" i="9"/>
  <c r="I24" i="9"/>
  <c r="I75" i="9" s="1"/>
  <c r="I12" i="9"/>
  <c r="I11" i="9"/>
  <c r="I10" i="9"/>
  <c r="I4" i="9"/>
  <c r="I23" i="9"/>
  <c r="I8" i="9"/>
  <c r="I7" i="9"/>
  <c r="I6" i="9"/>
  <c r="I20" i="9"/>
  <c r="I18" i="9"/>
  <c r="I3" i="9"/>
  <c r="I2" i="9"/>
  <c r="I19" i="9"/>
  <c r="I16" i="9"/>
  <c r="I15" i="9"/>
  <c r="I14" i="9"/>
  <c r="J22" i="9"/>
  <c r="J18" i="9"/>
  <c r="J14" i="9"/>
  <c r="J10" i="9"/>
  <c r="J6" i="9"/>
  <c r="J2" i="9"/>
  <c r="J23" i="9"/>
  <c r="J19" i="9"/>
  <c r="J21" i="9"/>
  <c r="J9" i="9"/>
  <c r="J8" i="9"/>
  <c r="J7" i="9"/>
  <c r="J20" i="9"/>
  <c r="J5" i="9"/>
  <c r="J4" i="9"/>
  <c r="J3" i="9"/>
  <c r="J25" i="9"/>
  <c r="J76" i="9" s="1"/>
  <c r="J17" i="9"/>
  <c r="J16" i="9"/>
  <c r="J15" i="9"/>
  <c r="J24" i="9"/>
  <c r="J75" i="9" s="1"/>
  <c r="J13" i="9"/>
  <c r="J12" i="9"/>
  <c r="J11" i="9"/>
  <c r="K23" i="9"/>
  <c r="K19" i="9"/>
  <c r="K15" i="9"/>
  <c r="K11" i="9"/>
  <c r="K7" i="9"/>
  <c r="K3" i="9"/>
  <c r="K24" i="9"/>
  <c r="K75" i="9" s="1"/>
  <c r="K20" i="9"/>
  <c r="K6" i="9"/>
  <c r="K5" i="9"/>
  <c r="K4" i="9"/>
  <c r="K25" i="9"/>
  <c r="K76" i="9" s="1"/>
  <c r="K18" i="9"/>
  <c r="K17" i="9"/>
  <c r="K16" i="9"/>
  <c r="K2" i="9"/>
  <c r="K22" i="9"/>
  <c r="K14" i="9"/>
  <c r="K13" i="9"/>
  <c r="K12" i="9"/>
  <c r="K21" i="9"/>
  <c r="K10" i="9"/>
  <c r="K9" i="9"/>
  <c r="K8" i="9"/>
  <c r="L24" i="9"/>
  <c r="L75" i="9" s="1"/>
  <c r="L20" i="9"/>
  <c r="L16" i="9"/>
  <c r="L12" i="9"/>
  <c r="L8" i="9"/>
  <c r="L4" i="9"/>
  <c r="L25" i="9"/>
  <c r="L76" i="9" s="1"/>
  <c r="L21" i="9"/>
  <c r="L23" i="9"/>
  <c r="L18" i="9"/>
  <c r="L17" i="9"/>
  <c r="L3" i="9"/>
  <c r="L2" i="9"/>
  <c r="L22" i="9"/>
  <c r="L15" i="9"/>
  <c r="L14" i="9"/>
  <c r="L13" i="9"/>
  <c r="L19" i="9"/>
  <c r="L11" i="9"/>
  <c r="L10" i="9"/>
  <c r="L9" i="9"/>
  <c r="L7" i="9"/>
  <c r="L6" i="9"/>
  <c r="L5" i="9"/>
  <c r="M25" i="9"/>
  <c r="M76" i="9" s="1"/>
  <c r="M21" i="9"/>
  <c r="M17" i="9"/>
  <c r="M13" i="9"/>
  <c r="M9" i="9"/>
  <c r="M5" i="9"/>
  <c r="M22" i="9"/>
  <c r="M20" i="9"/>
  <c r="M16" i="9"/>
  <c r="M15" i="9"/>
  <c r="M14" i="9"/>
  <c r="M7" i="9"/>
  <c r="M6" i="9"/>
  <c r="M19" i="9"/>
  <c r="M12" i="9"/>
  <c r="M11" i="9"/>
  <c r="M10" i="9"/>
  <c r="M24" i="9"/>
  <c r="M75" i="9" s="1"/>
  <c r="M8" i="9"/>
  <c r="M23" i="9"/>
  <c r="M18" i="9"/>
  <c r="M4" i="9"/>
  <c r="M3" i="9"/>
  <c r="M2" i="9"/>
  <c r="N22" i="9"/>
  <c r="N18" i="9"/>
  <c r="N14" i="9"/>
  <c r="N10" i="9"/>
  <c r="N6" i="9"/>
  <c r="N2" i="9"/>
  <c r="N23" i="9"/>
  <c r="N19" i="9"/>
  <c r="N25" i="9"/>
  <c r="N76" i="9" s="1"/>
  <c r="N13" i="9"/>
  <c r="N12" i="9"/>
  <c r="N11" i="9"/>
  <c r="N5" i="9"/>
  <c r="N24" i="9"/>
  <c r="N75" i="9" s="1"/>
  <c r="N9" i="9"/>
  <c r="N8" i="9"/>
  <c r="N7" i="9"/>
  <c r="N21" i="9"/>
  <c r="N4" i="9"/>
  <c r="N3" i="9"/>
  <c r="N20" i="9"/>
  <c r="N17" i="9"/>
  <c r="N16" i="9"/>
  <c r="N15" i="9"/>
  <c r="C2" i="9"/>
  <c r="M26" i="9" l="1"/>
  <c r="J26" i="9"/>
  <c r="D9" i="9"/>
  <c r="D6" i="9"/>
  <c r="D10" i="9"/>
  <c r="D3" i="9"/>
  <c r="D7" i="9"/>
  <c r="D23" i="9"/>
  <c r="D24" i="9"/>
  <c r="D75" i="9" s="1"/>
  <c r="D8" i="9"/>
  <c r="D14" i="9"/>
  <c r="D15" i="9"/>
  <c r="D12" i="9"/>
  <c r="D13" i="9"/>
  <c r="D22" i="9"/>
  <c r="D19" i="9"/>
  <c r="D16" i="9"/>
  <c r="D25" i="9"/>
  <c r="D76" i="9" s="1"/>
  <c r="D2" i="9"/>
  <c r="D18" i="9"/>
  <c r="D11" i="9"/>
  <c r="D4" i="9"/>
  <c r="D20" i="9"/>
  <c r="D17" i="9"/>
  <c r="D5" i="9"/>
  <c r="N23" i="8"/>
  <c r="N48" i="9" l="1"/>
  <c r="M48" i="9"/>
  <c r="L48" i="9"/>
  <c r="K48" i="9"/>
  <c r="J48" i="9"/>
  <c r="I48" i="9"/>
  <c r="H48" i="9"/>
  <c r="G48" i="9"/>
  <c r="F48" i="9"/>
  <c r="E48" i="9"/>
  <c r="D48" i="9"/>
  <c r="C48" i="9"/>
  <c r="O48" i="9" l="1"/>
  <c r="J74" i="9" l="1"/>
  <c r="N74" i="9" l="1"/>
  <c r="M74" i="9" l="1"/>
  <c r="K74" i="9"/>
  <c r="L74" i="9" l="1"/>
  <c r="H74" i="9" l="1"/>
  <c r="I74" i="9"/>
  <c r="F74" i="9" l="1"/>
  <c r="G74" i="9"/>
  <c r="E74" i="9"/>
  <c r="C74" i="9" l="1"/>
  <c r="F26" i="9"/>
  <c r="F27" i="8" l="1"/>
  <c r="D17" i="7" l="1"/>
  <c r="E17" i="7"/>
  <c r="I43" i="9" l="1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4" i="9"/>
  <c r="I45" i="9"/>
  <c r="I46" i="9"/>
  <c r="I47" i="9"/>
  <c r="I51" i="9"/>
  <c r="I77" i="9" s="1"/>
  <c r="I58" i="9" l="1"/>
  <c r="I70" i="9"/>
  <c r="I71" i="9"/>
  <c r="I54" i="9"/>
  <c r="I55" i="9"/>
  <c r="I66" i="9"/>
  <c r="I62" i="9"/>
  <c r="I52" i="9"/>
  <c r="I65" i="9"/>
  <c r="I57" i="9"/>
  <c r="I53" i="9"/>
  <c r="I73" i="9"/>
  <c r="I68" i="9"/>
  <c r="I64" i="9"/>
  <c r="I60" i="9"/>
  <c r="I56" i="9"/>
  <c r="I69" i="9"/>
  <c r="I61" i="9"/>
  <c r="I72" i="9"/>
  <c r="I67" i="9"/>
  <c r="I63" i="9"/>
  <c r="I59" i="9"/>
  <c r="I26" i="9" l="1"/>
  <c r="I78" i="9"/>
  <c r="I101" i="9" s="1"/>
  <c r="I99" i="9" l="1"/>
  <c r="I102" i="9"/>
  <c r="I103" i="9"/>
  <c r="H11" i="7"/>
  <c r="I100" i="9"/>
  <c r="I104" i="9"/>
  <c r="I97" i="9"/>
  <c r="I79" i="9"/>
  <c r="I81" i="9"/>
  <c r="I90" i="9"/>
  <c r="I84" i="9"/>
  <c r="I92" i="9"/>
  <c r="I98" i="9"/>
  <c r="I88" i="9"/>
  <c r="I86" i="9"/>
  <c r="I91" i="9"/>
  <c r="I95" i="9"/>
  <c r="I93" i="9"/>
  <c r="I82" i="9"/>
  <c r="I83" i="9"/>
  <c r="I87" i="9"/>
  <c r="I85" i="9"/>
  <c r="I94" i="9"/>
  <c r="I80" i="9"/>
  <c r="I89" i="9"/>
  <c r="I96" i="9"/>
  <c r="E26" i="9" l="1"/>
  <c r="O24" i="9"/>
  <c r="O75" i="9" s="1"/>
  <c r="C24" i="7" s="1"/>
  <c r="E24" i="7" s="1"/>
  <c r="D24" i="7" l="1"/>
  <c r="O23" i="9"/>
  <c r="O74" i="9" s="1"/>
  <c r="D74" i="9"/>
  <c r="N22" i="8"/>
  <c r="C47" i="9"/>
  <c r="D47" i="9"/>
  <c r="D73" i="9" s="1"/>
  <c r="E47" i="9"/>
  <c r="E73" i="9" s="1"/>
  <c r="F47" i="9"/>
  <c r="F73" i="9" s="1"/>
  <c r="G47" i="9"/>
  <c r="G73" i="9" s="1"/>
  <c r="H47" i="9"/>
  <c r="H73" i="9" s="1"/>
  <c r="J47" i="9"/>
  <c r="J73" i="9" s="1"/>
  <c r="K47" i="9"/>
  <c r="L47" i="9"/>
  <c r="M47" i="9"/>
  <c r="M73" i="9" s="1"/>
  <c r="N47" i="9"/>
  <c r="L27" i="8"/>
  <c r="C73" i="9" l="1"/>
  <c r="O47" i="9"/>
  <c r="N73" i="9" l="1"/>
  <c r="F17" i="7" l="1"/>
  <c r="C17" i="7"/>
  <c r="G16" i="7"/>
  <c r="G15" i="7"/>
  <c r="G14" i="7"/>
  <c r="B17" i="7"/>
  <c r="G12" i="7"/>
  <c r="G11" i="7"/>
  <c r="G10" i="7"/>
  <c r="G9" i="7"/>
  <c r="G8" i="7"/>
  <c r="G7" i="7"/>
  <c r="G6" i="7"/>
  <c r="C27" i="9"/>
  <c r="C53" i="9" s="1"/>
  <c r="D27" i="9"/>
  <c r="D53" i="9" s="1"/>
  <c r="E27" i="9"/>
  <c r="F27" i="9"/>
  <c r="F53" i="9" s="1"/>
  <c r="G27" i="9"/>
  <c r="G53" i="9" s="1"/>
  <c r="H27" i="9"/>
  <c r="H53" i="9" s="1"/>
  <c r="J27" i="9"/>
  <c r="J53" i="9" s="1"/>
  <c r="K27" i="9"/>
  <c r="L27" i="9"/>
  <c r="M27" i="9"/>
  <c r="M53" i="9" s="1"/>
  <c r="N27" i="9"/>
  <c r="N53" i="9" s="1"/>
  <c r="C28" i="9"/>
  <c r="C54" i="9" s="1"/>
  <c r="D28" i="9"/>
  <c r="D54" i="9" s="1"/>
  <c r="E28" i="9"/>
  <c r="E54" i="9" s="1"/>
  <c r="F28" i="9"/>
  <c r="F54" i="9" s="1"/>
  <c r="G28" i="9"/>
  <c r="G54" i="9" s="1"/>
  <c r="H28" i="9"/>
  <c r="H54" i="9" s="1"/>
  <c r="J28" i="9"/>
  <c r="J54" i="9" s="1"/>
  <c r="K28" i="9"/>
  <c r="L28" i="9"/>
  <c r="M28" i="9"/>
  <c r="M54" i="9" s="1"/>
  <c r="N28" i="9"/>
  <c r="N54" i="9" s="1"/>
  <c r="C29" i="9"/>
  <c r="C55" i="9" s="1"/>
  <c r="D29" i="9"/>
  <c r="D55" i="9" s="1"/>
  <c r="E29" i="9"/>
  <c r="E55" i="9" s="1"/>
  <c r="F29" i="9"/>
  <c r="F55" i="9" s="1"/>
  <c r="G29" i="9"/>
  <c r="G55" i="9" s="1"/>
  <c r="H29" i="9"/>
  <c r="H55" i="9" s="1"/>
  <c r="J29" i="9"/>
  <c r="J55" i="9" s="1"/>
  <c r="K29" i="9"/>
  <c r="L29" i="9"/>
  <c r="M29" i="9"/>
  <c r="M55" i="9" s="1"/>
  <c r="N29" i="9"/>
  <c r="N55" i="9" s="1"/>
  <c r="C30" i="9"/>
  <c r="C56" i="9" s="1"/>
  <c r="D30" i="9"/>
  <c r="D56" i="9" s="1"/>
  <c r="E30" i="9"/>
  <c r="E56" i="9" s="1"/>
  <c r="F30" i="9"/>
  <c r="F56" i="9" s="1"/>
  <c r="G30" i="9"/>
  <c r="G56" i="9" s="1"/>
  <c r="H30" i="9"/>
  <c r="H56" i="9" s="1"/>
  <c r="J30" i="9"/>
  <c r="J56" i="9" s="1"/>
  <c r="K30" i="9"/>
  <c r="L30" i="9"/>
  <c r="M30" i="9"/>
  <c r="M56" i="9" s="1"/>
  <c r="N30" i="9"/>
  <c r="N56" i="9" s="1"/>
  <c r="C31" i="9"/>
  <c r="C57" i="9" s="1"/>
  <c r="D31" i="9"/>
  <c r="D57" i="9" s="1"/>
  <c r="E31" i="9"/>
  <c r="E57" i="9" s="1"/>
  <c r="F31" i="9"/>
  <c r="F57" i="9" s="1"/>
  <c r="G31" i="9"/>
  <c r="G57" i="9" s="1"/>
  <c r="H31" i="9"/>
  <c r="H57" i="9" s="1"/>
  <c r="J31" i="9"/>
  <c r="J57" i="9" s="1"/>
  <c r="K31" i="9"/>
  <c r="L31" i="9"/>
  <c r="M31" i="9"/>
  <c r="M57" i="9" s="1"/>
  <c r="N31" i="9"/>
  <c r="N57" i="9" s="1"/>
  <c r="C32" i="9"/>
  <c r="C58" i="9" s="1"/>
  <c r="D32" i="9"/>
  <c r="D58" i="9" s="1"/>
  <c r="E32" i="9"/>
  <c r="E58" i="9" s="1"/>
  <c r="F32" i="9"/>
  <c r="F58" i="9" s="1"/>
  <c r="G32" i="9"/>
  <c r="G58" i="9" s="1"/>
  <c r="H32" i="9"/>
  <c r="H58" i="9" s="1"/>
  <c r="J32" i="9"/>
  <c r="J58" i="9" s="1"/>
  <c r="K32" i="9"/>
  <c r="L32" i="9"/>
  <c r="M32" i="9"/>
  <c r="M58" i="9" s="1"/>
  <c r="N32" i="9"/>
  <c r="N58" i="9" s="1"/>
  <c r="C33" i="9"/>
  <c r="C59" i="9" s="1"/>
  <c r="D33" i="9"/>
  <c r="D59" i="9" s="1"/>
  <c r="E33" i="9"/>
  <c r="E59" i="9" s="1"/>
  <c r="F33" i="9"/>
  <c r="F59" i="9" s="1"/>
  <c r="G33" i="9"/>
  <c r="G59" i="9" s="1"/>
  <c r="H33" i="9"/>
  <c r="H59" i="9" s="1"/>
  <c r="J33" i="9"/>
  <c r="J59" i="9" s="1"/>
  <c r="K33" i="9"/>
  <c r="L33" i="9"/>
  <c r="M33" i="9"/>
  <c r="M59" i="9" s="1"/>
  <c r="N33" i="9"/>
  <c r="N59" i="9" s="1"/>
  <c r="C34" i="9"/>
  <c r="C60" i="9" s="1"/>
  <c r="D34" i="9"/>
  <c r="D60" i="9" s="1"/>
  <c r="E34" i="9"/>
  <c r="E60" i="9" s="1"/>
  <c r="F34" i="9"/>
  <c r="F60" i="9" s="1"/>
  <c r="G34" i="9"/>
  <c r="G60" i="9" s="1"/>
  <c r="H34" i="9"/>
  <c r="H60" i="9" s="1"/>
  <c r="J34" i="9"/>
  <c r="J60" i="9" s="1"/>
  <c r="K34" i="9"/>
  <c r="K60" i="9" s="1"/>
  <c r="L34" i="9"/>
  <c r="M34" i="9"/>
  <c r="M60" i="9" s="1"/>
  <c r="N34" i="9"/>
  <c r="N60" i="9" s="1"/>
  <c r="C35" i="9"/>
  <c r="C61" i="9" s="1"/>
  <c r="D35" i="9"/>
  <c r="D61" i="9" s="1"/>
  <c r="E35" i="9"/>
  <c r="E61" i="9" s="1"/>
  <c r="F35" i="9"/>
  <c r="F61" i="9" s="1"/>
  <c r="G35" i="9"/>
  <c r="G61" i="9" s="1"/>
  <c r="H35" i="9"/>
  <c r="H61" i="9" s="1"/>
  <c r="J35" i="9"/>
  <c r="J61" i="9" s="1"/>
  <c r="K35" i="9"/>
  <c r="K61" i="9" s="1"/>
  <c r="L35" i="9"/>
  <c r="M35" i="9"/>
  <c r="M61" i="9" s="1"/>
  <c r="N35" i="9"/>
  <c r="N61" i="9" s="1"/>
  <c r="C36" i="9"/>
  <c r="C62" i="9" s="1"/>
  <c r="D36" i="9"/>
  <c r="D62" i="9" s="1"/>
  <c r="E36" i="9"/>
  <c r="F36" i="9"/>
  <c r="F62" i="9" s="1"/>
  <c r="G36" i="9"/>
  <c r="G62" i="9" s="1"/>
  <c r="H36" i="9"/>
  <c r="H62" i="9" s="1"/>
  <c r="J36" i="9"/>
  <c r="J62" i="9" s="1"/>
  <c r="K36" i="9"/>
  <c r="L36" i="9"/>
  <c r="M36" i="9"/>
  <c r="M62" i="9" s="1"/>
  <c r="N36" i="9"/>
  <c r="N62" i="9" s="1"/>
  <c r="C37" i="9"/>
  <c r="C63" i="9" s="1"/>
  <c r="D37" i="9"/>
  <c r="D63" i="9" s="1"/>
  <c r="E37" i="9"/>
  <c r="E63" i="9" s="1"/>
  <c r="F37" i="9"/>
  <c r="F63" i="9" s="1"/>
  <c r="G37" i="9"/>
  <c r="G63" i="9" s="1"/>
  <c r="H37" i="9"/>
  <c r="H63" i="9" s="1"/>
  <c r="J37" i="9"/>
  <c r="J63" i="9" s="1"/>
  <c r="K37" i="9"/>
  <c r="L37" i="9"/>
  <c r="M37" i="9"/>
  <c r="M63" i="9" s="1"/>
  <c r="N37" i="9"/>
  <c r="N63" i="9" s="1"/>
  <c r="C38" i="9"/>
  <c r="C64" i="9" s="1"/>
  <c r="D38" i="9"/>
  <c r="D64" i="9" s="1"/>
  <c r="E38" i="9"/>
  <c r="E64" i="9" s="1"/>
  <c r="F38" i="9"/>
  <c r="F64" i="9" s="1"/>
  <c r="G38" i="9"/>
  <c r="G64" i="9" s="1"/>
  <c r="H38" i="9"/>
  <c r="H64" i="9" s="1"/>
  <c r="J38" i="9"/>
  <c r="J64" i="9" s="1"/>
  <c r="K38" i="9"/>
  <c r="L38" i="9"/>
  <c r="M38" i="9"/>
  <c r="M64" i="9" s="1"/>
  <c r="N38" i="9"/>
  <c r="N64" i="9" s="1"/>
  <c r="C39" i="9"/>
  <c r="C65" i="9" s="1"/>
  <c r="D39" i="9"/>
  <c r="D65" i="9" s="1"/>
  <c r="E39" i="9"/>
  <c r="E65" i="9" s="1"/>
  <c r="F39" i="9"/>
  <c r="F65" i="9" s="1"/>
  <c r="G39" i="9"/>
  <c r="G65" i="9" s="1"/>
  <c r="H39" i="9"/>
  <c r="H65" i="9" s="1"/>
  <c r="J39" i="9"/>
  <c r="J65" i="9" s="1"/>
  <c r="K39" i="9"/>
  <c r="L39" i="9"/>
  <c r="M39" i="9"/>
  <c r="M65" i="9" s="1"/>
  <c r="N39" i="9"/>
  <c r="N65" i="9" s="1"/>
  <c r="C40" i="9"/>
  <c r="C66" i="9" s="1"/>
  <c r="D40" i="9"/>
  <c r="D66" i="9" s="1"/>
  <c r="E40" i="9"/>
  <c r="E66" i="9" s="1"/>
  <c r="F40" i="9"/>
  <c r="F66" i="9" s="1"/>
  <c r="G40" i="9"/>
  <c r="G66" i="9" s="1"/>
  <c r="H40" i="9"/>
  <c r="H66" i="9" s="1"/>
  <c r="J40" i="9"/>
  <c r="J66" i="9" s="1"/>
  <c r="K40" i="9"/>
  <c r="K66" i="9" s="1"/>
  <c r="L40" i="9"/>
  <c r="M40" i="9"/>
  <c r="M66" i="9" s="1"/>
  <c r="N40" i="9"/>
  <c r="N66" i="9" s="1"/>
  <c r="C41" i="9"/>
  <c r="C67" i="9" s="1"/>
  <c r="D41" i="9"/>
  <c r="D67" i="9" s="1"/>
  <c r="E41" i="9"/>
  <c r="E67" i="9" s="1"/>
  <c r="F41" i="9"/>
  <c r="F67" i="9" s="1"/>
  <c r="G41" i="9"/>
  <c r="G67" i="9" s="1"/>
  <c r="H41" i="9"/>
  <c r="H67" i="9" s="1"/>
  <c r="J41" i="9"/>
  <c r="J67" i="9" s="1"/>
  <c r="K41" i="9"/>
  <c r="L41" i="9"/>
  <c r="M41" i="9"/>
  <c r="M67" i="9" s="1"/>
  <c r="N41" i="9"/>
  <c r="N67" i="9" s="1"/>
  <c r="C42" i="9"/>
  <c r="C68" i="9" s="1"/>
  <c r="D42" i="9"/>
  <c r="D68" i="9" s="1"/>
  <c r="E42" i="9"/>
  <c r="E68" i="9" s="1"/>
  <c r="F42" i="9"/>
  <c r="F68" i="9" s="1"/>
  <c r="G42" i="9"/>
  <c r="G68" i="9" s="1"/>
  <c r="H42" i="9"/>
  <c r="H68" i="9" s="1"/>
  <c r="J42" i="9"/>
  <c r="J68" i="9" s="1"/>
  <c r="K42" i="9"/>
  <c r="L42" i="9"/>
  <c r="M42" i="9"/>
  <c r="M68" i="9" s="1"/>
  <c r="N42" i="9"/>
  <c r="N68" i="9" s="1"/>
  <c r="C44" i="9"/>
  <c r="C69" i="9" s="1"/>
  <c r="D44" i="9"/>
  <c r="D69" i="9" s="1"/>
  <c r="E44" i="9"/>
  <c r="E69" i="9" s="1"/>
  <c r="F44" i="9"/>
  <c r="F69" i="9" s="1"/>
  <c r="G44" i="9"/>
  <c r="G69" i="9" s="1"/>
  <c r="H44" i="9"/>
  <c r="H69" i="9" s="1"/>
  <c r="J44" i="9"/>
  <c r="J69" i="9" s="1"/>
  <c r="K44" i="9"/>
  <c r="L44" i="9"/>
  <c r="M44" i="9"/>
  <c r="M69" i="9" s="1"/>
  <c r="N44" i="9"/>
  <c r="N69" i="9" s="1"/>
  <c r="C45" i="9"/>
  <c r="C71" i="9" s="1"/>
  <c r="D45" i="9"/>
  <c r="D71" i="9" s="1"/>
  <c r="E45" i="9"/>
  <c r="E71" i="9" s="1"/>
  <c r="F45" i="9"/>
  <c r="F71" i="9" s="1"/>
  <c r="G45" i="9"/>
  <c r="G71" i="9" s="1"/>
  <c r="H45" i="9"/>
  <c r="H71" i="9" s="1"/>
  <c r="J45" i="9"/>
  <c r="J71" i="9" s="1"/>
  <c r="K45" i="9"/>
  <c r="L45" i="9"/>
  <c r="M45" i="9"/>
  <c r="M71" i="9" s="1"/>
  <c r="N45" i="9"/>
  <c r="N71" i="9" s="1"/>
  <c r="C46" i="9"/>
  <c r="C72" i="9" s="1"/>
  <c r="D46" i="9"/>
  <c r="D72" i="9" s="1"/>
  <c r="E46" i="9"/>
  <c r="E72" i="9" s="1"/>
  <c r="F46" i="9"/>
  <c r="F72" i="9" s="1"/>
  <c r="G46" i="9"/>
  <c r="G72" i="9" s="1"/>
  <c r="H46" i="9"/>
  <c r="H72" i="9" s="1"/>
  <c r="J46" i="9"/>
  <c r="J72" i="9" s="1"/>
  <c r="K46" i="9"/>
  <c r="L46" i="9"/>
  <c r="M46" i="9"/>
  <c r="M72" i="9" s="1"/>
  <c r="N46" i="9"/>
  <c r="N72" i="9" s="1"/>
  <c r="C51" i="9"/>
  <c r="C77" i="9" s="1"/>
  <c r="D51" i="9"/>
  <c r="D77" i="9" s="1"/>
  <c r="E51" i="9"/>
  <c r="E77" i="9" s="1"/>
  <c r="F51" i="9"/>
  <c r="F77" i="9" s="1"/>
  <c r="G51" i="9"/>
  <c r="G77" i="9" s="1"/>
  <c r="H51" i="9"/>
  <c r="H77" i="9" s="1"/>
  <c r="J51" i="9"/>
  <c r="J77" i="9" s="1"/>
  <c r="K51" i="9"/>
  <c r="K77" i="9" s="1"/>
  <c r="L51" i="9"/>
  <c r="L77" i="9" s="1"/>
  <c r="M51" i="9"/>
  <c r="M77" i="9" s="1"/>
  <c r="N51" i="9"/>
  <c r="N77" i="9" s="1"/>
  <c r="D43" i="9"/>
  <c r="D70" i="9" s="1"/>
  <c r="E43" i="9"/>
  <c r="E70" i="9" s="1"/>
  <c r="F43" i="9"/>
  <c r="F70" i="9" s="1"/>
  <c r="G43" i="9"/>
  <c r="H43" i="9"/>
  <c r="H70" i="9" s="1"/>
  <c r="J43" i="9"/>
  <c r="J70" i="9" s="1"/>
  <c r="K43" i="9"/>
  <c r="L43" i="9"/>
  <c r="M43" i="9"/>
  <c r="M70" i="9" s="1"/>
  <c r="N43" i="9"/>
  <c r="N70" i="9" s="1"/>
  <c r="C43" i="9"/>
  <c r="C70" i="9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C27" i="8"/>
  <c r="D27" i="8"/>
  <c r="E27" i="8"/>
  <c r="G27" i="8"/>
  <c r="H27" i="8"/>
  <c r="I27" i="8"/>
  <c r="K27" i="8"/>
  <c r="M27" i="8"/>
  <c r="B27" i="8"/>
  <c r="D26" i="9"/>
  <c r="G26" i="9"/>
  <c r="H26" i="9"/>
  <c r="C26" i="9"/>
  <c r="F78" i="9" l="1"/>
  <c r="I11" i="7"/>
  <c r="N26" i="9"/>
  <c r="L70" i="9"/>
  <c r="G52" i="9"/>
  <c r="O36" i="9"/>
  <c r="E53" i="9"/>
  <c r="E52" i="9"/>
  <c r="O27" i="9"/>
  <c r="E62" i="9"/>
  <c r="O38" i="9"/>
  <c r="O33" i="9"/>
  <c r="O29" i="9"/>
  <c r="O35" i="9"/>
  <c r="O41" i="9"/>
  <c r="O51" i="9"/>
  <c r="O44" i="9"/>
  <c r="O28" i="9"/>
  <c r="G70" i="9"/>
  <c r="G78" i="9" s="1"/>
  <c r="G99" i="9" s="1"/>
  <c r="O40" i="9"/>
  <c r="O45" i="9"/>
  <c r="O31" i="9"/>
  <c r="O39" i="9"/>
  <c r="O30" i="9"/>
  <c r="O34" i="9"/>
  <c r="O32" i="9"/>
  <c r="M52" i="9"/>
  <c r="O37" i="9"/>
  <c r="O46" i="9"/>
  <c r="N27" i="8"/>
  <c r="O42" i="9"/>
  <c r="L68" i="9"/>
  <c r="L60" i="9"/>
  <c r="L59" i="9"/>
  <c r="L65" i="9"/>
  <c r="L55" i="9"/>
  <c r="L64" i="9"/>
  <c r="L53" i="9"/>
  <c r="L69" i="9"/>
  <c r="L61" i="9"/>
  <c r="L56" i="9"/>
  <c r="K52" i="9"/>
  <c r="G13" i="7"/>
  <c r="H78" i="9"/>
  <c r="H99" i="9" s="1"/>
  <c r="D78" i="9"/>
  <c r="J78" i="9"/>
  <c r="J99" i="9" s="1"/>
  <c r="M78" i="9"/>
  <c r="M99" i="9" s="1"/>
  <c r="C78" i="9"/>
  <c r="N52" i="9"/>
  <c r="J52" i="9"/>
  <c r="F52" i="9"/>
  <c r="L52" i="9"/>
  <c r="H52" i="9"/>
  <c r="D52" i="9"/>
  <c r="O43" i="9"/>
  <c r="C52" i="9"/>
  <c r="L72" i="9"/>
  <c r="L71" i="9"/>
  <c r="D101" i="9" l="1"/>
  <c r="D99" i="9"/>
  <c r="C101" i="9"/>
  <c r="C99" i="9"/>
  <c r="F101" i="9"/>
  <c r="F99" i="9"/>
  <c r="J103" i="9"/>
  <c r="J101" i="9"/>
  <c r="G102" i="9"/>
  <c r="G101" i="9"/>
  <c r="M102" i="9"/>
  <c r="M101" i="9"/>
  <c r="H102" i="9"/>
  <c r="H101" i="9"/>
  <c r="F102" i="9"/>
  <c r="H8" i="7"/>
  <c r="I8" i="7" s="1"/>
  <c r="D102" i="9"/>
  <c r="C102" i="9"/>
  <c r="H5" i="7"/>
  <c r="M103" i="9"/>
  <c r="J100" i="9"/>
  <c r="J102" i="9"/>
  <c r="D103" i="9"/>
  <c r="H103" i="9"/>
  <c r="G103" i="9"/>
  <c r="C103" i="9"/>
  <c r="F103" i="9"/>
  <c r="H15" i="7"/>
  <c r="I15" i="7" s="1"/>
  <c r="M100" i="9"/>
  <c r="H10" i="7"/>
  <c r="I10" i="7" s="1"/>
  <c r="H100" i="9"/>
  <c r="C96" i="9"/>
  <c r="C100" i="9"/>
  <c r="H9" i="7"/>
  <c r="I9" i="7" s="1"/>
  <c r="G100" i="9"/>
  <c r="F100" i="9"/>
  <c r="H6" i="7"/>
  <c r="I6" i="7" s="1"/>
  <c r="D100" i="9"/>
  <c r="G17" i="7"/>
  <c r="I22" i="7" s="1"/>
  <c r="H12" i="7"/>
  <c r="I12" i="7" s="1"/>
  <c r="K73" i="9"/>
  <c r="L73" i="9"/>
  <c r="N78" i="9"/>
  <c r="F98" i="9"/>
  <c r="G86" i="9"/>
  <c r="D104" i="9"/>
  <c r="H104" i="9"/>
  <c r="M96" i="9"/>
  <c r="E78" i="9"/>
  <c r="F93" i="9"/>
  <c r="F87" i="9"/>
  <c r="M92" i="9"/>
  <c r="F92" i="9"/>
  <c r="D87" i="9"/>
  <c r="H97" i="9"/>
  <c r="H93" i="9"/>
  <c r="M86" i="9"/>
  <c r="F79" i="9"/>
  <c r="F84" i="9"/>
  <c r="D98" i="9"/>
  <c r="H82" i="9"/>
  <c r="D92" i="9"/>
  <c r="K57" i="9"/>
  <c r="K54" i="9"/>
  <c r="K58" i="9"/>
  <c r="K63" i="9"/>
  <c r="K67" i="9"/>
  <c r="K72" i="9"/>
  <c r="K62" i="9"/>
  <c r="K71" i="9"/>
  <c r="D89" i="9"/>
  <c r="M93" i="9"/>
  <c r="H96" i="9"/>
  <c r="D81" i="9"/>
  <c r="H85" i="9"/>
  <c r="F90" i="9"/>
  <c r="G94" i="9"/>
  <c r="D84" i="9"/>
  <c r="F89" i="9"/>
  <c r="G89" i="9"/>
  <c r="M95" i="9"/>
  <c r="D79" i="9"/>
  <c r="M84" i="9"/>
  <c r="F82" i="9"/>
  <c r="D95" i="9"/>
  <c r="M94" i="9"/>
  <c r="F81" i="9"/>
  <c r="D86" i="9"/>
  <c r="M79" i="9"/>
  <c r="D90" i="9"/>
  <c r="F95" i="9"/>
  <c r="C104" i="9"/>
  <c r="C85" i="9"/>
  <c r="C93" i="9"/>
  <c r="C79" i="9"/>
  <c r="C87" i="9"/>
  <c r="C95" i="9"/>
  <c r="J104" i="9"/>
  <c r="J96" i="9"/>
  <c r="J80" i="9"/>
  <c r="J88" i="9"/>
  <c r="J97" i="9"/>
  <c r="C80" i="9"/>
  <c r="C88" i="9"/>
  <c r="C97" i="9"/>
  <c r="J85" i="9"/>
  <c r="C83" i="9"/>
  <c r="J91" i="9"/>
  <c r="G83" i="9"/>
  <c r="G91" i="9"/>
  <c r="G104" i="9"/>
  <c r="G85" i="9"/>
  <c r="G93" i="9"/>
  <c r="H79" i="9"/>
  <c r="J82" i="9"/>
  <c r="J90" i="9"/>
  <c r="H95" i="9"/>
  <c r="C82" i="9"/>
  <c r="C90" i="9"/>
  <c r="G97" i="9"/>
  <c r="J79" i="9"/>
  <c r="G87" i="9"/>
  <c r="C98" i="9"/>
  <c r="J93" i="9"/>
  <c r="M81" i="9"/>
  <c r="M89" i="9"/>
  <c r="M98" i="9"/>
  <c r="M83" i="9"/>
  <c r="M91" i="9"/>
  <c r="M104" i="9"/>
  <c r="D96" i="9"/>
  <c r="H81" i="9"/>
  <c r="D83" i="9"/>
  <c r="J84" i="9"/>
  <c r="F86" i="9"/>
  <c r="H89" i="9"/>
  <c r="D91" i="9"/>
  <c r="J92" i="9"/>
  <c r="F94" i="9"/>
  <c r="H98" i="9"/>
  <c r="M80" i="9"/>
  <c r="G82" i="9"/>
  <c r="C84" i="9"/>
  <c r="M88" i="9"/>
  <c r="G90" i="9"/>
  <c r="C92" i="9"/>
  <c r="M97" i="9"/>
  <c r="D80" i="9"/>
  <c r="J81" i="9"/>
  <c r="F83" i="9"/>
  <c r="H86" i="9"/>
  <c r="D88" i="9"/>
  <c r="J89" i="9"/>
  <c r="G81" i="9"/>
  <c r="M87" i="9"/>
  <c r="C91" i="9"/>
  <c r="G98" i="9"/>
  <c r="H92" i="9"/>
  <c r="D94" i="9"/>
  <c r="J95" i="9"/>
  <c r="H87" i="9"/>
  <c r="G80" i="9"/>
  <c r="G88" i="9"/>
  <c r="H84" i="9"/>
  <c r="J87" i="9"/>
  <c r="C81" i="9"/>
  <c r="H90" i="9"/>
  <c r="F104" i="9"/>
  <c r="F96" i="9"/>
  <c r="F80" i="9"/>
  <c r="H83" i="9"/>
  <c r="D85" i="9"/>
  <c r="J86" i="9"/>
  <c r="F88" i="9"/>
  <c r="H91" i="9"/>
  <c r="D93" i="9"/>
  <c r="J94" i="9"/>
  <c r="F97" i="9"/>
  <c r="M82" i="9"/>
  <c r="G84" i="9"/>
  <c r="C86" i="9"/>
  <c r="M90" i="9"/>
  <c r="G92" i="9"/>
  <c r="C94" i="9"/>
  <c r="H80" i="9"/>
  <c r="D82" i="9"/>
  <c r="J83" i="9"/>
  <c r="F85" i="9"/>
  <c r="H88" i="9"/>
  <c r="G79" i="9"/>
  <c r="M85" i="9"/>
  <c r="C89" i="9"/>
  <c r="G95" i="9"/>
  <c r="F91" i="9"/>
  <c r="H94" i="9"/>
  <c r="D97" i="9"/>
  <c r="J98" i="9"/>
  <c r="G96" i="9"/>
  <c r="L58" i="9"/>
  <c r="L63" i="9"/>
  <c r="L67" i="9"/>
  <c r="L62" i="9"/>
  <c r="L66" i="9"/>
  <c r="L57" i="9"/>
  <c r="L54" i="9"/>
  <c r="O52" i="9"/>
  <c r="L26" i="9"/>
  <c r="N101" i="9" l="1"/>
  <c r="N99" i="9"/>
  <c r="E101" i="9"/>
  <c r="E99" i="9"/>
  <c r="B9" i="5"/>
  <c r="I5" i="7"/>
  <c r="H7" i="7"/>
  <c r="I7" i="7" s="1"/>
  <c r="N102" i="9"/>
  <c r="N103" i="9"/>
  <c r="E102" i="9"/>
  <c r="E103" i="9"/>
  <c r="E100" i="9"/>
  <c r="N100" i="9"/>
  <c r="N97" i="9"/>
  <c r="H16" i="7"/>
  <c r="I16" i="7" s="1"/>
  <c r="E104" i="9"/>
  <c r="E91" i="9"/>
  <c r="E97" i="9"/>
  <c r="O22" i="9"/>
  <c r="N95" i="9"/>
  <c r="N98" i="9"/>
  <c r="O73" i="9"/>
  <c r="N92" i="9"/>
  <c r="N89" i="9"/>
  <c r="N84" i="9"/>
  <c r="N88" i="9"/>
  <c r="N81" i="9"/>
  <c r="N86" i="9"/>
  <c r="N90" i="9"/>
  <c r="N87" i="9"/>
  <c r="N91" i="9"/>
  <c r="N79" i="9"/>
  <c r="N94" i="9"/>
  <c r="N82" i="9"/>
  <c r="N80" i="9"/>
  <c r="N93" i="9"/>
  <c r="N104" i="9"/>
  <c r="N96" i="9"/>
  <c r="N85" i="9"/>
  <c r="N83" i="9"/>
  <c r="E96" i="9"/>
  <c r="E83" i="9"/>
  <c r="E81" i="9"/>
  <c r="E87" i="9"/>
  <c r="E79" i="9"/>
  <c r="E89" i="9"/>
  <c r="E82" i="9"/>
  <c r="E94" i="9"/>
  <c r="E88" i="9"/>
  <c r="E85" i="9"/>
  <c r="E93" i="9"/>
  <c r="E84" i="9"/>
  <c r="E92" i="9"/>
  <c r="E98" i="9"/>
  <c r="E95" i="9"/>
  <c r="E90" i="9"/>
  <c r="E80" i="9"/>
  <c r="E86" i="9"/>
  <c r="O12" i="9"/>
  <c r="O7" i="9"/>
  <c r="O15" i="9"/>
  <c r="O6" i="9"/>
  <c r="O3" i="9"/>
  <c r="O16" i="9"/>
  <c r="O21" i="9"/>
  <c r="O11" i="9"/>
  <c r="O20" i="9"/>
  <c r="O25" i="9"/>
  <c r="K56" i="9"/>
  <c r="O5" i="9"/>
  <c r="K59" i="9"/>
  <c r="O8" i="9"/>
  <c r="K69" i="9"/>
  <c r="O19" i="9"/>
  <c r="K53" i="9"/>
  <c r="O2" i="9"/>
  <c r="O71" i="9"/>
  <c r="K68" i="9"/>
  <c r="O17" i="9"/>
  <c r="K55" i="9"/>
  <c r="O4" i="9"/>
  <c r="K65" i="9"/>
  <c r="O14" i="9"/>
  <c r="K64" i="9"/>
  <c r="O13" i="9"/>
  <c r="O10" i="9"/>
  <c r="O9" i="9"/>
  <c r="K70" i="9"/>
  <c r="K26" i="9"/>
  <c r="O26" i="9" s="1"/>
  <c r="O18" i="9"/>
  <c r="O66" i="9"/>
  <c r="O67" i="9"/>
  <c r="O58" i="9"/>
  <c r="O72" i="9"/>
  <c r="O57" i="9"/>
  <c r="O62" i="9"/>
  <c r="O63" i="9"/>
  <c r="O54" i="9"/>
  <c r="L78" i="9"/>
  <c r="L101" i="9" s="1"/>
  <c r="L99" i="9" l="1"/>
  <c r="O77" i="9"/>
  <c r="O76" i="9"/>
  <c r="L100" i="9"/>
  <c r="L102" i="9"/>
  <c r="L103" i="9"/>
  <c r="H14" i="7"/>
  <c r="I14" i="7" s="1"/>
  <c r="L98" i="9"/>
  <c r="O65" i="9"/>
  <c r="O68" i="9"/>
  <c r="O55" i="9"/>
  <c r="K78" i="9"/>
  <c r="O70" i="9"/>
  <c r="O60" i="9"/>
  <c r="O61" i="9"/>
  <c r="O64" i="9"/>
  <c r="O53" i="9"/>
  <c r="O59" i="9"/>
  <c r="O69" i="9"/>
  <c r="O56" i="9"/>
  <c r="L84" i="9"/>
  <c r="L80" i="9"/>
  <c r="L88" i="9"/>
  <c r="L92" i="9"/>
  <c r="L83" i="9"/>
  <c r="L96" i="9"/>
  <c r="L81" i="9"/>
  <c r="L85" i="9"/>
  <c r="L104" i="9"/>
  <c r="L87" i="9"/>
  <c r="L94" i="9"/>
  <c r="L91" i="9"/>
  <c r="L86" i="9"/>
  <c r="L79" i="9"/>
  <c r="L90" i="9"/>
  <c r="L82" i="9"/>
  <c r="L95" i="9"/>
  <c r="L97" i="9"/>
  <c r="L89" i="9"/>
  <c r="L93" i="9"/>
  <c r="C22" i="7" l="1"/>
  <c r="E22" i="7" s="1"/>
  <c r="K101" i="9"/>
  <c r="K99" i="9"/>
  <c r="K102" i="9"/>
  <c r="K103" i="9"/>
  <c r="H13" i="7"/>
  <c r="H17" i="7" s="1"/>
  <c r="K100" i="9"/>
  <c r="K96" i="9"/>
  <c r="O78" i="9"/>
  <c r="K95" i="9"/>
  <c r="K85" i="9"/>
  <c r="K82" i="9"/>
  <c r="K86" i="9"/>
  <c r="K91" i="9"/>
  <c r="K90" i="9"/>
  <c r="K94" i="9"/>
  <c r="K79" i="9"/>
  <c r="K87" i="9"/>
  <c r="K104" i="9"/>
  <c r="K98" i="9"/>
  <c r="K83" i="9"/>
  <c r="K93" i="9"/>
  <c r="K92" i="9"/>
  <c r="K88" i="9"/>
  <c r="K89" i="9"/>
  <c r="K80" i="9"/>
  <c r="K84" i="9"/>
  <c r="K97" i="9"/>
  <c r="K81" i="9"/>
  <c r="D22" i="7" l="1"/>
  <c r="I21" i="7"/>
  <c r="I23" i="7" s="1"/>
  <c r="O101" i="9"/>
  <c r="O99" i="9"/>
  <c r="I13" i="7"/>
  <c r="I17" i="7" s="1"/>
  <c r="O102" i="9"/>
  <c r="O103" i="9"/>
  <c r="O89" i="9"/>
  <c r="O100" i="9"/>
  <c r="O88" i="9"/>
  <c r="O80" i="9"/>
  <c r="O104" i="9"/>
  <c r="O84" i="9"/>
  <c r="O97" i="9"/>
  <c r="O81" i="9"/>
  <c r="O94" i="9"/>
  <c r="O83" i="9"/>
  <c r="O86" i="9"/>
  <c r="O79" i="9"/>
  <c r="O95" i="9"/>
  <c r="O90" i="9"/>
  <c r="O96" i="9"/>
  <c r="O93" i="9"/>
  <c r="O82" i="9"/>
  <c r="O98" i="9"/>
  <c r="O87" i="9"/>
  <c r="O85" i="9"/>
  <c r="O91" i="9"/>
  <c r="O9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Liarzi</author>
  </authors>
  <commentList>
    <comment ref="C9" authorId="0" shapeId="0" xr:uid="{AB33FEE1-C76F-4611-8E0E-BACE0A49A652}">
      <text>
        <r>
          <rPr>
            <sz val="9"/>
            <color indexed="81"/>
            <rFont val="Tahoma"/>
            <family val="2"/>
          </rPr>
          <t>1,152 ₪ - נסיעות והחזר מפקדים
6,218.57 ₪ - מופ"ת מילואים
5,808 ₪ - מענק מילואים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Orna Liarzi</author>
  </authors>
  <commentList>
    <comment ref="D34" authorId="0" shapeId="0" xr:uid="{00000000-0006-0000-0200-000001000000}">
      <text>
        <r>
          <rPr>
            <sz val="9"/>
            <color indexed="81"/>
            <rFont val="Tahoma"/>
            <family val="2"/>
          </rPr>
          <t>392 - ברז חדש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Liarzi</author>
    <author>Orna Liarzi</author>
  </authors>
  <commentList>
    <comment ref="H5" authorId="0" shapeId="0" xr:uid="{98D35CE3-5B57-49E3-BEF0-A1823B127EC5}">
      <text>
        <r>
          <rPr>
            <sz val="9"/>
            <color indexed="81"/>
            <rFont val="Tahoma"/>
            <family val="2"/>
          </rPr>
          <t>1,000 ₪ - חתונה בת של דדי</t>
        </r>
      </text>
    </comment>
    <comment ref="C6" authorId="0" shapeId="0" xr:uid="{00000000-0006-0000-0300-000004000000}">
      <text>
        <r>
          <rPr>
            <sz val="9"/>
            <color indexed="81"/>
            <rFont val="Tahoma"/>
            <family val="2"/>
          </rPr>
          <t>ארנונה - 1,602.9 ₪ 
הבאר השלישית (מיים) - 206.57 ₪</t>
        </r>
      </text>
    </comment>
    <comment ref="E6" authorId="0" shapeId="0" xr:uid="{1C902E09-B80C-4150-B37A-B50AFB86F290}">
      <text>
        <r>
          <rPr>
            <sz val="9"/>
            <color indexed="81"/>
            <rFont val="Tahoma"/>
            <family val="2"/>
          </rPr>
          <t>ארנונה - 1,707.10 ₪ 
הבאר השלישית (מיים) - 160.2 ₪</t>
        </r>
      </text>
    </comment>
    <comment ref="G6" authorId="0" shapeId="0" xr:uid="{898FDB11-6504-43F4-8B70-9A2FDF76B778}">
      <text>
        <r>
          <rPr>
            <sz val="9"/>
            <color indexed="81"/>
            <rFont val="Tahoma"/>
            <family val="2"/>
          </rPr>
          <t>ארנונה - 1,602.9 ₪ 
הבאר השלישית (מיים) - 160.53 ₪</t>
        </r>
      </text>
    </comment>
    <comment ref="I6" authorId="0" shapeId="0" xr:uid="{204687A8-4ADC-4C6E-88FA-B2955432F595}">
      <text>
        <r>
          <rPr>
            <sz val="9"/>
            <color indexed="81"/>
            <rFont val="Tahoma"/>
            <family val="2"/>
          </rPr>
          <t>ארנונה - 1,711.2 ₪ 
הבאר השלישית (מיים) - 231.47 ₪</t>
        </r>
      </text>
    </comment>
    <comment ref="K6" authorId="0" shapeId="0" xr:uid="{14F2BBE9-993C-4FD5-A76E-8BA4F1747624}">
      <text>
        <r>
          <rPr>
            <sz val="9"/>
            <color indexed="81"/>
            <rFont val="Tahoma"/>
            <family val="2"/>
          </rPr>
          <t>ארנונה - 1,711.2 ₪ 
הבאר השלישית (מיים) - 236.71 ₪</t>
        </r>
      </text>
    </comment>
    <comment ref="M6" authorId="0" shapeId="0" xr:uid="{FA94C6F0-EE87-4715-984B-ECACCCCBCF6A}">
      <text>
        <r>
          <rPr>
            <sz val="9"/>
            <color indexed="81"/>
            <rFont val="Tahoma"/>
            <family val="2"/>
          </rPr>
          <t>ארנונה - 1,602.9 ₪ 
הבאר השלישית (מיים) - 206.57 ₪</t>
        </r>
      </text>
    </comment>
    <comment ref="B10" authorId="0" shapeId="0" xr:uid="{29C07710-CACC-4285-8876-33C5E2057130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C10" authorId="0" shapeId="0" xr:uid="{BF3D4591-36C0-4A55-8379-1F9365B537CD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D10" authorId="0" shapeId="0" xr:uid="{25F0EBBF-06EE-4D11-A6C2-0533A22F0332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E10" authorId="0" shapeId="0" xr:uid="{F4D51CFD-2711-4D45-805E-B839FCB763E0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F10" authorId="0" shapeId="0" xr:uid="{BF18F6E3-2F75-4FA5-8429-CB598C0F4195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G10" authorId="0" shapeId="0" xr:uid="{4E51661C-8ED4-4119-B347-362BBCD33B97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H10" authorId="0" shapeId="0" xr:uid="{0AE2BD58-DF53-42DF-9159-6246398AB61F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J10" authorId="0" shapeId="0" xr:uid="{0220CEDA-1206-489D-A41F-6D4CE05FD76C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K10" authorId="0" shapeId="0" xr:uid="{6C12DDA9-6D4A-4119-B60A-B47F326409CC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L10" authorId="0" shapeId="0" xr:uid="{B173996E-B1AA-4C84-AB48-9CE135713828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M10" authorId="0" shapeId="0" xr:uid="{13676A97-BBD9-4ED5-950C-07F4AAAD4508}">
      <text>
        <r>
          <rPr>
            <sz val="9"/>
            <color indexed="81"/>
            <rFont val="Tahoma"/>
            <family val="2"/>
          </rPr>
          <t>200 ₪ - פילאטיס</t>
        </r>
      </text>
    </comment>
    <comment ref="B12" authorId="0" shapeId="0" xr:uid="{326BF4AC-1DCA-4517-B544-4B7E7BEBFB5D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- 650.85 ₪ 
אקסלנס גמל להשקעה - 1000</t>
        </r>
      </text>
    </comment>
    <comment ref="C12" authorId="0" shapeId="0" xr:uid="{1DFA2998-B4CF-4F68-BAFD-0B4A6FA0D99F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- 650.85 ₪ 
אקסלנס גמל להשקעה - 1000</t>
        </r>
      </text>
    </comment>
    <comment ref="D12" authorId="0" shapeId="0" xr:uid="{E1C3FC92-8BD3-4320-9674-863C9D136AD5}">
      <text>
        <r>
          <rPr>
            <sz val="9"/>
            <color indexed="81"/>
            <rFont val="Tahoma"/>
            <family val="2"/>
          </rPr>
          <t xml:space="preserve">מקפת - 675.11 ₪ 
אקסלנס גמל להשקעה - 1000 ₪ </t>
        </r>
      </text>
    </comment>
    <comment ref="E12" authorId="0" shapeId="0" xr:uid="{B055D3A7-574F-4699-88CB-25D62B50C46A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- 600 ₪ 
אקסלנס גמל להשקעה - 1000</t>
        </r>
      </text>
    </comment>
    <comment ref="F12" authorId="0" shapeId="0" xr:uid="{2C5549AB-36B6-4E60-B1ED-1D002434DD3B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- 656.43 ₪ 
אקסלנס גמל להשקעה - 1000</t>
        </r>
      </text>
    </comment>
    <comment ref="G12" authorId="0" shapeId="0" xr:uid="{1E62F4D9-B992-4840-A29C-C4ABF0A918FE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- 600 ₪ 
אקסלנס גמל להשקעה - 1000</t>
        </r>
      </text>
    </comment>
    <comment ref="H12" authorId="0" shapeId="0" xr:uid="{A0015A36-314A-4BB1-82D1-D0ECE754312C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- 600 ₪ 
אקסלנס גמל להשקעה - 1000</t>
        </r>
      </text>
    </comment>
    <comment ref="I12" authorId="0" shapeId="0" xr:uid="{2A098C71-3785-4338-9CFE-A6AEA0B04334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- 650.85 ₪ 
אקסלנס גמל להשקעה - 1000</t>
        </r>
      </text>
    </comment>
    <comment ref="J12" authorId="0" shapeId="0" xr:uid="{2333F4B0-6AD6-4C1A-B311-2479694AD69C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- 600 ₪ 
אקסלנס גמל להשקעה - 1000</t>
        </r>
      </text>
    </comment>
    <comment ref="K12" authorId="0" shapeId="0" xr:uid="{401C80AF-020C-41AD-8E22-7F3E2317FB4F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- 650.85 ₪ 
אקסלנס גמל להשקעה - 1000</t>
        </r>
      </text>
    </comment>
    <comment ref="L12" authorId="0" shapeId="0" xr:uid="{72C658C5-6786-4842-8871-C2D63E290642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- 600 ₪ 
אקסלנס גמל להשקעה - 1000</t>
        </r>
      </text>
    </comment>
    <comment ref="M12" authorId="0" shapeId="0" xr:uid="{82F8D7FB-DB5C-4469-8969-70B2CDC2A88B}">
      <text>
        <r>
          <rPr>
            <b/>
            <sz val="9"/>
            <color indexed="81"/>
            <rFont val="Tahoma"/>
            <family val="2"/>
          </rPr>
          <t>Michael Liarzi:</t>
        </r>
        <r>
          <rPr>
            <sz val="9"/>
            <color indexed="81"/>
            <rFont val="Tahoma"/>
            <family val="2"/>
          </rPr>
          <t xml:space="preserve">
מקפת - 600 ₪ 
אקסלנס גמל להשקעה - 1000</t>
        </r>
      </text>
    </comment>
    <comment ref="C24" authorId="1" shapeId="0" xr:uid="{4FA4EE24-9C11-4762-B871-81EDA7DF4665}">
      <text>
        <r>
          <rPr>
            <b/>
            <sz val="9"/>
            <color indexed="81"/>
            <rFont val="Tahoma"/>
          </rPr>
          <t>17,600 ₪  - דולפין כספית
2,200 ₪  - סיגמה מניות
2,200 ₪ - מיטב ת"א 125</t>
        </r>
      </text>
    </comment>
    <comment ref="F24" authorId="1" shapeId="0" xr:uid="{AF3BA88C-DEBF-495F-BE75-71257492CAB1}">
      <text>
        <r>
          <rPr>
            <b/>
            <sz val="9"/>
            <color indexed="81"/>
            <rFont val="Tahoma"/>
          </rPr>
          <t xml:space="preserve">32,000 ₪  - דולפין כספית
2,000 ₪  - סיגמה מניות
2,000 ₪ - מיטב ת"א 
125
מיטב מדינה+20% - 4,000 ₪ </t>
        </r>
      </text>
    </comment>
    <comment ref="G24" authorId="1" shapeId="0" xr:uid="{A57A8F20-A85F-46F1-84C2-618FFA2F7AFD}">
      <text>
        <r>
          <rPr>
            <b/>
            <sz val="9"/>
            <color indexed="81"/>
            <rFont val="Tahoma"/>
          </rPr>
          <t>15,000 ₪  - דולפין כספית</t>
        </r>
      </text>
    </comment>
    <comment ref="H24" authorId="1" shapeId="0" xr:uid="{FC6E6D1A-B09A-4962-AB98-51DDFD718E9D}">
      <text>
        <r>
          <rPr>
            <b/>
            <sz val="9"/>
            <color indexed="81"/>
            <rFont val="Tahoma"/>
          </rPr>
          <t>23,000 ₪  - דולפין כספית</t>
        </r>
      </text>
    </comment>
  </commentList>
</comments>
</file>

<file path=xl/sharedStrings.xml><?xml version="1.0" encoding="utf-8"?>
<sst xmlns="http://schemas.openxmlformats.org/spreadsheetml/2006/main" count="6556" uniqueCount="1637">
  <si>
    <t>כרטיס</t>
  </si>
  <si>
    <t>סכום העסקה</t>
  </si>
  <si>
    <t>תאריך החיוב</t>
  </si>
  <si>
    <t>סוג העסקה</t>
  </si>
  <si>
    <t>פירוט</t>
  </si>
  <si>
    <t>שונות</t>
  </si>
  <si>
    <t>סופר פארם בית הורד גבעתיי</t>
  </si>
  <si>
    <t>סופר פארם רחובות</t>
  </si>
  <si>
    <t>דלק מנטה קמעונאות דרכים ש</t>
  </si>
  <si>
    <t>ניופארם רחובות מזרח</t>
  </si>
  <si>
    <t>הכנסות מול הוצואות</t>
  </si>
  <si>
    <t>גרף בר</t>
  </si>
  <si>
    <t>תחומי הוצאות</t>
  </si>
  <si>
    <t>גרף פאי</t>
  </si>
  <si>
    <t>סוגי הוצאות</t>
  </si>
  <si>
    <t>סוגי הכנסות</t>
  </si>
  <si>
    <t>צבא</t>
  </si>
  <si>
    <t>אחר</t>
  </si>
  <si>
    <t>נופש</t>
  </si>
  <si>
    <t>בילוי ומסעדות</t>
  </si>
  <si>
    <t>חינוך ומשפחה</t>
  </si>
  <si>
    <t>תרבות ופנאי</t>
  </si>
  <si>
    <t>מזון ומשקאות</t>
  </si>
  <si>
    <t>ביגוד והנעלה</t>
  </si>
  <si>
    <t>בריאות</t>
  </si>
  <si>
    <t>מוצרי חשמל ותקשורת</t>
  </si>
  <si>
    <t>בית וגן</t>
  </si>
  <si>
    <t>ביטוח</t>
  </si>
  <si>
    <t>רכב ותחבורה</t>
  </si>
  <si>
    <t>הלוואות ומשכנתא</t>
  </si>
  <si>
    <t>שירותי בנקאות</t>
  </si>
  <si>
    <t>מזומן</t>
  </si>
  <si>
    <t>מתנות ומזכרות</t>
  </si>
  <si>
    <t>מטפלת/ מעון</t>
  </si>
  <si>
    <t>בית ספר</t>
  </si>
  <si>
    <t>חוגים</t>
  </si>
  <si>
    <t>קניית דירה</t>
  </si>
  <si>
    <t>סוג הוצאה</t>
  </si>
  <si>
    <t>סכום הוצאה</t>
  </si>
  <si>
    <t>ילדים</t>
  </si>
  <si>
    <t>סוג הכנסה</t>
  </si>
  <si>
    <t>ינואר</t>
  </si>
  <si>
    <t>פברואר</t>
  </si>
  <si>
    <t>מרץ</t>
  </si>
  <si>
    <t>אפריל</t>
  </si>
  <si>
    <t>מאי</t>
  </si>
  <si>
    <t>יוני</t>
  </si>
  <si>
    <t>יולי</t>
  </si>
  <si>
    <t>ספטמבר</t>
  </si>
  <si>
    <t>אוגוסט</t>
  </si>
  <si>
    <t>אוקטובר</t>
  </si>
  <si>
    <t>נובמבר</t>
  </si>
  <si>
    <t>דצמבר</t>
  </si>
  <si>
    <t>סה"כ</t>
  </si>
  <si>
    <t>משכורות</t>
  </si>
  <si>
    <t>אשראי</t>
  </si>
  <si>
    <t>ידני</t>
  </si>
  <si>
    <t>סה"כ ידני</t>
  </si>
  <si>
    <t>סה"כ אשראי</t>
  </si>
  <si>
    <t>סה"כ הוצאות</t>
  </si>
  <si>
    <t>סה"כ הוצאות ידני</t>
  </si>
  <si>
    <t>באחוזים</t>
  </si>
  <si>
    <t>חודש בחירה</t>
  </si>
  <si>
    <t>חודש</t>
  </si>
  <si>
    <t>סה"כ הכנסות</t>
  </si>
  <si>
    <t>B בזק - הוראת קבע</t>
  </si>
  <si>
    <t>חברת החשמל לישראל בע"מ</t>
  </si>
  <si>
    <t>טיב טעם רשתות רחובות</t>
  </si>
  <si>
    <t>קואופ שופ רחובות</t>
  </si>
  <si>
    <t>בהצדעה</t>
  </si>
  <si>
    <t>לחם טאטי-צמרת</t>
  </si>
  <si>
    <t>כביש 6</t>
  </si>
  <si>
    <t>מרכז פרי וירק</t>
  </si>
  <si>
    <t>המשביר רחובות</t>
  </si>
  <si>
    <t>נמרוד רחובות</t>
  </si>
  <si>
    <t>חיסכון</t>
  </si>
  <si>
    <t>שרותי בריאות כללית הו"ק</t>
  </si>
  <si>
    <t>תמי 4</t>
  </si>
  <si>
    <t>איזי פארק טעינת כ.חנ</t>
  </si>
  <si>
    <t>סבון של פעם</t>
  </si>
  <si>
    <t>אטרקציה ד.ש. עסקים ב</t>
  </si>
  <si>
    <t>דיקלה בטוח שיניים</t>
  </si>
  <si>
    <t>תמונות וחיוכים</t>
  </si>
  <si>
    <t>מצמן בילו בע"מ</t>
  </si>
  <si>
    <t>קניית דירה/ שכירות</t>
  </si>
  <si>
    <t>ביטוח לאומי</t>
  </si>
  <si>
    <t>גולן טלקום</t>
  </si>
  <si>
    <t>מוסך אלימלך שוטף 60</t>
  </si>
  <si>
    <t>החזר ביטוח שיניים</t>
  </si>
  <si>
    <t>פניקס חיים ובריאות</t>
  </si>
  <si>
    <t>סגפרדו-מגל מזרח כביש 6</t>
  </si>
  <si>
    <t>יניב טייר</t>
  </si>
  <si>
    <t>הוצאות מול הכנסות</t>
  </si>
  <si>
    <t>הוצאה</t>
  </si>
  <si>
    <t>פער</t>
  </si>
  <si>
    <t>סופר פארם הרצל רחובות</t>
  </si>
  <si>
    <t>כפיים - מירוצים וספורט</t>
  </si>
  <si>
    <t>החברה העירונית רחובות לתר</t>
  </si>
  <si>
    <t>פיוזן בילו</t>
  </si>
  <si>
    <t>סופרפארם שער רחובות</t>
  </si>
  <si>
    <t>טריפל סי מחשוב בע"מ</t>
  </si>
  <si>
    <t>חמישה בלונים</t>
  </si>
  <si>
    <t>פז / YELLOW נחלת יהודה</t>
  </si>
  <si>
    <t>סטימצקי קניון רחובות</t>
  </si>
  <si>
    <t>סטימצקי רחובות א'</t>
  </si>
  <si>
    <t>הפנינג צדי ניהול</t>
  </si>
  <si>
    <t>אופיס דיפו</t>
  </si>
  <si>
    <t>תאריך עסקה</t>
  </si>
  <si>
    <t>שופרסל דיל בילו</t>
  </si>
  <si>
    <t>דמי כרטיס</t>
  </si>
  <si>
    <t>דמי חבר - שופרסל פ</t>
  </si>
  <si>
    <t>ו.נ. אבולעפיה</t>
  </si>
  <si>
    <t>רשות הטבע והגנים-פלמ</t>
  </si>
  <si>
    <t>מרכז הנופש בע"מ</t>
  </si>
  <si>
    <t>מרפאת שיניים דר סגל מנדל</t>
  </si>
  <si>
    <t>מכון דוידסון</t>
  </si>
  <si>
    <t>רונבי</t>
  </si>
  <si>
    <t>פיקאבוק-צילוגרף</t>
  </si>
  <si>
    <t>אורות העיר</t>
  </si>
  <si>
    <t>דלתא גליל</t>
  </si>
  <si>
    <t>רשת חוויות רחובות- ה</t>
  </si>
  <si>
    <t>שופרסל דיל רחובות</t>
  </si>
  <si>
    <t>שופרסל דיל נס ציונה</t>
  </si>
  <si>
    <t>בית עסק</t>
  </si>
  <si>
    <t>יינות ביתן בעמ -רחובות</t>
  </si>
  <si>
    <t>מגה קמעונאות רחובות</t>
  </si>
  <si>
    <t>שבט שניר- הסתדרות ה</t>
  </si>
  <si>
    <t>נופש ישיר IN מכבי איסתא</t>
  </si>
  <si>
    <t>שיבא משק וחניה בע"מ</t>
  </si>
  <si>
    <t>TICKITALY COM</t>
  </si>
  <si>
    <t>משתלת סלונר בע"מ</t>
  </si>
  <si>
    <t>מאמא יוקרו-גמא</t>
  </si>
  <si>
    <t>PAYPAL *M'YYNSLWMMW</t>
  </si>
  <si>
    <t>כללית רמז רחובות</t>
  </si>
  <si>
    <t>משרד התחבורה - רשיונות רכ</t>
  </si>
  <si>
    <t>החב' העירונית לבטחון ראש</t>
  </si>
  <si>
    <t>biglietteriamusei.vatican</t>
  </si>
  <si>
    <t>דלק מנטה קמעונאות דרכים ב</t>
  </si>
  <si>
    <t>רשת חוויות רחובות</t>
  </si>
  <si>
    <t>אל שפע כל</t>
  </si>
  <si>
    <t>ז.עמלות עובדי מדינה2015-</t>
  </si>
  <si>
    <t>ז.ריבית עובדי מדינה2015-</t>
  </si>
  <si>
    <t>הראל-ביטוח חו"ל</t>
  </si>
  <si>
    <t>הראל שיניים (דקלה)</t>
  </si>
  <si>
    <t>דר בועז ויזל-צמרת</t>
  </si>
  <si>
    <t>גולף גבעתיים</t>
  </si>
  <si>
    <t>קניון רחובות</t>
  </si>
  <si>
    <t>סלופארק טכנולוגיות</t>
  </si>
  <si>
    <t>קפה טאטי-צמרת</t>
  </si>
  <si>
    <t>אופיס דיפו רחובות-גמ</t>
  </si>
  <si>
    <t>ארומה בית קמה בע"מ</t>
  </si>
  <si>
    <t>סטימצקי רחובות ב'</t>
  </si>
  <si>
    <t>PAYPAL *TIXWISE</t>
  </si>
  <si>
    <t>PAYPAL *TILBOSHET</t>
  </si>
  <si>
    <t>למבדה - רחובות</t>
  </si>
  <si>
    <t>כללית רחובות פלמח</t>
  </si>
  <si>
    <t>פטיסרי צביאלי בע"מ</t>
  </si>
  <si>
    <t>פירות וירקות הגבורה-</t>
  </si>
  <si>
    <t>גאדג'ט שופ-צמרת</t>
  </si>
  <si>
    <t>אי איי ג'י בטוח דירה</t>
  </si>
  <si>
    <t>AIG תאונות ובריאות</t>
  </si>
  <si>
    <t>Amazon.uk Payments</t>
  </si>
  <si>
    <t>PAYPAL *GOZRIM</t>
  </si>
  <si>
    <t>סמסונג רחובות</t>
  </si>
  <si>
    <t>קולומביה רחובות</t>
  </si>
  <si>
    <t>נעמן גרופ רחובות</t>
  </si>
  <si>
    <t>013 נטוויזן בע"מ</t>
  </si>
  <si>
    <t>ר.הטבע והגנים בית גו</t>
  </si>
  <si>
    <t>מזנון לונה פארק</t>
  </si>
  <si>
    <t>חניון הפארק גני יהושע</t>
  </si>
  <si>
    <t>הגרעין בע"מ- קמפו</t>
  </si>
  <si>
    <t>קפה לנדוור מרכז הכרמל</t>
  </si>
  <si>
    <t>פניקס ק.תפעולית</t>
  </si>
  <si>
    <t>ארקפה גבעתיים</t>
  </si>
  <si>
    <t>רכישת תוים</t>
  </si>
  <si>
    <t>ממסי תיירות בעמ</t>
  </si>
  <si>
    <t>חברת פרטנר תקשורת בע"מ (ה</t>
  </si>
  <si>
    <t>ארומה יקנעם</t>
  </si>
  <si>
    <t>ת חוויות רחובות- הוק</t>
  </si>
  <si>
    <t>ד.ש. עסקים בעמ-צמרת</t>
  </si>
  <si>
    <t>מחשוב בעמ הוראות קבע</t>
  </si>
  <si>
    <t>למטייל נס ציונה</t>
  </si>
  <si>
    <t>ארומה קסטינה</t>
  </si>
  <si>
    <t>ספין בייק בעמ-גמא</t>
  </si>
  <si>
    <t>מרפאת שיניים דר ברמן</t>
  </si>
  <si>
    <t>אופטיק דורון</t>
  </si>
  <si>
    <t>צומת ספרים גבעת ברנר</t>
  </si>
  <si>
    <t>אוטו יורופ 2010 בע"מ</t>
  </si>
  <si>
    <t>2Mobile d.o.o.</t>
  </si>
  <si>
    <t>תחנת רכבת רחובות</t>
  </si>
  <si>
    <t>מוקד כללית חו"ל</t>
  </si>
  <si>
    <t>לחייל ולטייל</t>
  </si>
  <si>
    <t>סופר פארם בילו סנטר</t>
  </si>
  <si>
    <t>הרמוניה לבית בע"מ נס ציונ</t>
  </si>
  <si>
    <t>אביר הבר בע"מ</t>
  </si>
  <si>
    <t>אורבן קופיקס בעמ</t>
  </si>
  <si>
    <t>קרית החינוך ע"ש דה ש</t>
  </si>
  <si>
    <t>POSTOJNSKA JAMA D.D.</t>
  </si>
  <si>
    <t>מרחבים טל חניונים</t>
  </si>
  <si>
    <t>תשלום מאובטח בפאיימי</t>
  </si>
  <si>
    <t>קליק מדליק-צמרת</t>
  </si>
  <si>
    <t>שושי -אין פרחים כאלה</t>
  </si>
  <si>
    <t>פולי שיווק ויזמות</t>
  </si>
  <si>
    <t>AMZ*Amazon.uk Payments</t>
  </si>
  <si>
    <t>בזיל הזול דוד סבן</t>
  </si>
  <si>
    <t>פרו סלולר</t>
  </si>
  <si>
    <t>נספרסו פתח תקווה אתר אינט</t>
  </si>
  <si>
    <t>מכון דוידסון-צמרת</t>
  </si>
  <si>
    <t>סגפרדו-מגל מערב כביש 6</t>
  </si>
  <si>
    <t>דרך היין בע"מ</t>
  </si>
  <si>
    <t>רונלייט דיגיטל בע"מ</t>
  </si>
  <si>
    <t>כפיים שיווק וקידום מכירות</t>
  </si>
  <si>
    <t>המסיבה</t>
  </si>
  <si>
    <t>אנטר רחובות</t>
  </si>
  <si>
    <t>בורגראנץ שיבא</t>
  </si>
  <si>
    <t>GOOGLE *ESET LLC</t>
  </si>
  <si>
    <t>קניון הגדול</t>
  </si>
  <si>
    <t>מצמן את מרוץ-צמרת</t>
  </si>
  <si>
    <t>טוגו</t>
  </si>
  <si>
    <t>מ.ר.ל.מ מרפאות רחובות</t>
  </si>
  <si>
    <t>בית חולים קפלן</t>
  </si>
  <si>
    <t>נחלת המושבים אגמון החולה</t>
  </si>
  <si>
    <t>א.נ. תל-חי</t>
  </si>
  <si>
    <t>סופרפארם היכל פתח תקוה</t>
  </si>
  <si>
    <t>מקדונלד'ס אם המושבות</t>
  </si>
  <si>
    <t>שותפות ניהול מגדלי זיו</t>
  </si>
  <si>
    <t>תיאטרון מראה</t>
  </si>
  <si>
    <t>אופיס דיפו מודיעין-י</t>
  </si>
  <si>
    <t>PAYPAL *MYYNSLWMMWR</t>
  </si>
  <si>
    <t>אוהב ציון</t>
  </si>
  <si>
    <t>פוקס רחובות</t>
  </si>
  <si>
    <t>תן ביס</t>
  </si>
  <si>
    <t>טל כלי עבודה וצבעים</t>
  </si>
  <si>
    <t>חניון חניון הרוב</t>
  </si>
  <si>
    <t>מובי רחובות</t>
  </si>
  <si>
    <t>ס.א.ל טיטניום השקעות</t>
  </si>
  <si>
    <t>חניון אשדר</t>
  </si>
  <si>
    <t>מגדל משה אביב ניהול</t>
  </si>
  <si>
    <t>מחסני הנעלה</t>
  </si>
  <si>
    <t>לירם אקסלוסוב ג.נ.ו</t>
  </si>
  <si>
    <t>איסתא ישראל ישיר</t>
  </si>
  <si>
    <t>CENTRO TURISTICOSOCIA 787</t>
  </si>
  <si>
    <t>אופיס דיפו רחובות-יצ</t>
  </si>
  <si>
    <t>ארומה עבדת</t>
  </si>
  <si>
    <t>מאיר איתן שירותי מחשב</t>
  </si>
  <si>
    <t>Hotel Piciuel</t>
  </si>
  <si>
    <t>PAYBOX</t>
  </si>
  <si>
    <t>דמקה</t>
  </si>
  <si>
    <t>חניון היכל מנורה-מבטחים</t>
  </si>
  <si>
    <t>סופר פארם נס ציונה</t>
  </si>
  <si>
    <t>אחוזות החוף חניון בית האצ</t>
  </si>
  <si>
    <t>חברה כלכלית פארק תמנע</t>
  </si>
  <si>
    <t>PAYPAL *ZER4U</t>
  </si>
  <si>
    <t>פלאפון חשבון תקופתי</t>
  </si>
  <si>
    <t>סופרפארם ביג אילת</t>
  </si>
  <si>
    <t>מחסני חשמל</t>
  </si>
  <si>
    <t>דומינוס פיצה רחובות</t>
  </si>
  <si>
    <t>מרכז רפואי אסף הרופא</t>
  </si>
  <si>
    <t>עוגות דה לה פה</t>
  </si>
  <si>
    <t>נעמן</t>
  </si>
  <si>
    <t>SUPERPARTY</t>
  </si>
  <si>
    <t>באגט הפעמון אילת</t>
  </si>
  <si>
    <t>יוחננוף - אחד העם</t>
  </si>
  <si>
    <t>חניון בית אופק - סנטרל פא</t>
  </si>
  <si>
    <t>מוצצים בילו</t>
  </si>
  <si>
    <t>בון ספורט בע"מ-גמא</t>
  </si>
  <si>
    <t>מעיין שלום</t>
  </si>
  <si>
    <t>PAYPAL *MWSHKLTD</t>
  </si>
  <si>
    <t>הום סנטר עקרון</t>
  </si>
  <si>
    <t>קל גב ספורט 1983 בע"מ</t>
  </si>
  <si>
    <t>ביחד בשבילך</t>
  </si>
  <si>
    <t>גולן - טלקום</t>
  </si>
  <si>
    <t>קרביץ ישראל</t>
  </si>
  <si>
    <t>מאמא יוקרו רחובות</t>
  </si>
  <si>
    <t>מאץ ריטייל בעמ H&amp;M רחובות</t>
  </si>
  <si>
    <t>ארומה ביג אילת</t>
  </si>
  <si>
    <t>שופרסל שלי רחובות החדשה</t>
  </si>
  <si>
    <t>שופרסל דיל מודיעין</t>
  </si>
  <si>
    <t>פירות וירקות הגבורה-גמא</t>
  </si>
  <si>
    <t>טעינת כרטיס GC  מבית לאומי קארד</t>
  </si>
  <si>
    <t>חניון פארק ויצמן רחו</t>
  </si>
  <si>
    <t>PAYPAL *ATVO SPA</t>
  </si>
  <si>
    <t>ביליארד ספורט סנטר</t>
  </si>
  <si>
    <t>כל בו טמבור</t>
  </si>
  <si>
    <t>שבולת השרון רחובות</t>
  </si>
  <si>
    <t>סאיק טיב הנדסה בע"מ</t>
  </si>
  <si>
    <t>אחוזות החוף חניון הסינרמה</t>
  </si>
  <si>
    <t>רמות מגדלי הקונקורד 2009</t>
  </si>
  <si>
    <t>כללית קניון רחובות</t>
  </si>
  <si>
    <t>מרכז הפרי והירק</t>
  </si>
  <si>
    <t>עצמלה רהיטים</t>
  </si>
  <si>
    <t>יוני גל רהיטים</t>
  </si>
  <si>
    <t>רשות הטבע - אתר טבילה</t>
  </si>
  <si>
    <t>מגה ספורט בילו</t>
  </si>
  <si>
    <t>אחוזת החוף חניון התחנה</t>
  </si>
  <si>
    <t>BBB עפולה</t>
  </si>
  <si>
    <t>בהצדעה צרכנות</t>
  </si>
  <si>
    <t>הפניקס אלמנטרי</t>
  </si>
  <si>
    <t>ביהס ניצני המדע</t>
  </si>
  <si>
    <t>מחקרים אסף הרופא</t>
  </si>
  <si>
    <t>קרייזי ליין בע"מ</t>
  </si>
  <si>
    <t>תמנון קניון רחובות-ג</t>
  </si>
  <si>
    <t>אופיס 3000 בע"מ - נס ציונ</t>
  </si>
  <si>
    <t>מאפיית אבולעפיה</t>
  </si>
  <si>
    <t>סטימצקי קניותר</t>
  </si>
  <si>
    <t>לגעת באוכל-רחובות</t>
  </si>
  <si>
    <t>burger king</t>
  </si>
  <si>
    <t>tamoil</t>
  </si>
  <si>
    <t>haunold</t>
  </si>
  <si>
    <t>cassa pordoi</t>
  </si>
  <si>
    <t>distributore d</t>
  </si>
  <si>
    <t>latemar 2200</t>
  </si>
  <si>
    <t>חפציבה ספרים ומכשירי כתיב</t>
  </si>
  <si>
    <t>HOLVI*AUSTRIAN ASSOCIATIO</t>
  </si>
  <si>
    <t>AMAZON MKTPLACE PMTS</t>
  </si>
  <si>
    <t>גילתוראן</t>
  </si>
  <si>
    <t>אול ג'ובס הוראת קבע</t>
  </si>
  <si>
    <t>DISTRIBUTORE DIMA COMP.PE</t>
  </si>
  <si>
    <t>FUNIVIE TOFANA MARMOLA</t>
  </si>
  <si>
    <t>JAMES RICHARDSON</t>
  </si>
  <si>
    <t>ג'ימס ריצ'רדסון אמ.ג'י.אס</t>
  </si>
  <si>
    <t>ש ל ה שיניים היובל סמייל</t>
  </si>
  <si>
    <t>אלטמן בריאות שותפות כללית</t>
  </si>
  <si>
    <t>PICABOOK</t>
  </si>
  <si>
    <t>דור פארק המדע</t>
  </si>
  <si>
    <t>DRI*MICROSOFT HUP</t>
  </si>
  <si>
    <t>סלופארק טכנולוגיות בעמ</t>
  </si>
  <si>
    <t>IPI חניון גן -לונדון</t>
  </si>
  <si>
    <t>אלקטרה מוצרי צריכה - שיוו</t>
  </si>
  <si>
    <t>קבוצת מגנוליה</t>
  </si>
  <si>
    <t>צ.א. גינזבורסקי</t>
  </si>
  <si>
    <t>נכסי אריאלי -אמות פל</t>
  </si>
  <si>
    <t>קשת טעמים בילו</t>
  </si>
  <si>
    <t>רשות הטבע והגנים אכזיב</t>
  </si>
  <si>
    <t>א.נ פקיעין</t>
  </si>
  <si>
    <t>אקססורייז</t>
  </si>
  <si>
    <t>אלון חוצה ישראל-מול מערב</t>
  </si>
  <si>
    <t>אפל pay-box</t>
  </si>
  <si>
    <t>PAYPAL *EPROECOMMER</t>
  </si>
  <si>
    <t>ליטפ פלוס</t>
  </si>
  <si>
    <t>נה נה בילו</t>
  </si>
  <si>
    <t>אגודת אכסניות נוער ב</t>
  </si>
  <si>
    <t>PAYPAL *OESTERREICH</t>
  </si>
  <si>
    <t>פוקס רחובות ילדים</t>
  </si>
  <si>
    <t>זברה רחובות</t>
  </si>
  <si>
    <t>דיזנהאוס יוניתורס תיירות</t>
  </si>
  <si>
    <t>רז גל (2005) בע"מ</t>
  </si>
  <si>
    <t>ספורט תחביב יוסי יזהר</t>
  </si>
  <si>
    <t>McDonalds 26</t>
  </si>
  <si>
    <t>HOTEL ROYAL</t>
  </si>
  <si>
    <t>McDonalds 1</t>
  </si>
  <si>
    <t>COURTYARD WIEN SCHOENBRUN</t>
  </si>
  <si>
    <t>CHESSINGTON WORLD</t>
  </si>
  <si>
    <t>ELAL INT ISRAEL</t>
  </si>
  <si>
    <t>היפר טוי קניון רחובות</t>
  </si>
  <si>
    <t>PAYPAL *CLEVERBRIDG</t>
  </si>
  <si>
    <t>הדרי איצחק</t>
  </si>
  <si>
    <t>EVENTBUZZ</t>
  </si>
  <si>
    <t>PAYPAL *NETFLIX COM</t>
  </si>
  <si>
    <t>מזווה</t>
  </si>
  <si>
    <t>רכבת ישראל-רחובות</t>
  </si>
  <si>
    <t>מנורה בריאות/אלמנטרי הו"ק</t>
  </si>
  <si>
    <t>אפליקציית Paybox</t>
  </si>
  <si>
    <t>WWW.LONGLEAT.CO.UK</t>
  </si>
  <si>
    <t>WARWICK CASTLE</t>
  </si>
  <si>
    <t>HISTORIC ROYAL PAL</t>
  </si>
  <si>
    <t>ROYAL COLLECTION</t>
  </si>
  <si>
    <t>STONEHENGE ONLINE</t>
  </si>
  <si>
    <t>הום סנטר נס ציונה</t>
  </si>
  <si>
    <t>קניון עזריאלי ראשונים</t>
  </si>
  <si>
    <t>WARNER BROS</t>
  </si>
  <si>
    <t>שופרסל-דיל ביל"ו</t>
  </si>
  <si>
    <t>שופרסל בע"מ רכישת תווים</t>
  </si>
  <si>
    <t>סופר פארם ישפרו - נס ציונ</t>
  </si>
  <si>
    <t>עיצוב שיער מוטי</t>
  </si>
  <si>
    <t>Amazon.co.uk Payments</t>
  </si>
  <si>
    <t>סגפרדו-צומת דבירה</t>
  </si>
  <si>
    <t>פאפאיה בילו</t>
  </si>
  <si>
    <t>קליק מדליק</t>
  </si>
  <si>
    <t>אי איי ג'י בטו</t>
  </si>
  <si>
    <t>דלק מנטה קמעונ</t>
  </si>
  <si>
    <t>קואופ שופ רחוב</t>
  </si>
  <si>
    <t>סופר פארם בית</t>
  </si>
  <si>
    <t>רשות הטבע והגנ</t>
  </si>
  <si>
    <t>מנורה בריאות/א</t>
  </si>
  <si>
    <t>שרותי בריאות כ</t>
  </si>
  <si>
    <t>פניקס חיים ובר</t>
  </si>
  <si>
    <t>סלופארק טכנולו</t>
  </si>
  <si>
    <t>למבדה - רחובו</t>
  </si>
  <si>
    <t>טל כלי עבודה ו</t>
  </si>
  <si>
    <t>אטרקציה ד.ש. ע</t>
  </si>
  <si>
    <t>חברת החשמל ליש</t>
  </si>
  <si>
    <t>העברה באפליקצי</t>
  </si>
  <si>
    <t>נספרסו פתח תקו</t>
  </si>
  <si>
    <t>סופר פארם הרצל</t>
  </si>
  <si>
    <t>b בזק - הוראת</t>
  </si>
  <si>
    <t>burgrqshov tlv</t>
  </si>
  <si>
    <t>חניון על בסנטר</t>
  </si>
  <si>
    <t>הפניקס אלמ-החז</t>
  </si>
  <si>
    <t>מרכז הנופש בע"</t>
  </si>
  <si>
    <t>קרית החינוך ע"</t>
  </si>
  <si>
    <t>אלון חוצה ישרא</t>
  </si>
  <si>
    <t>אחוזת החוף חני</t>
  </si>
  <si>
    <t>* דמי כרטיס **</t>
  </si>
  <si>
    <t>paypal *netfli</t>
  </si>
  <si>
    <t>חניון מוזיאון</t>
  </si>
  <si>
    <t>החברה העירו</t>
  </si>
  <si>
    <t>מרכז הנופש</t>
  </si>
  <si>
    <t>sze'chenyi gyo</t>
  </si>
  <si>
    <t>bkk automata f</t>
  </si>
  <si>
    <t>gerbeaud / ony</t>
  </si>
  <si>
    <t>budapest gift</t>
  </si>
  <si>
    <t>mcdhu10039</t>
  </si>
  <si>
    <t>bkk automata -</t>
  </si>
  <si>
    <t>ma'tya's-templ</t>
  </si>
  <si>
    <t>aldi 65.sz</t>
  </si>
  <si>
    <t>budava'ri sikl</t>
  </si>
  <si>
    <t>קפה גרג נס ציונה</t>
  </si>
  <si>
    <t>פן דור תעשיות בע"מ</t>
  </si>
  <si>
    <t>GO MOBILE</t>
  </si>
  <si>
    <t>רשות הטבע והגנים- גן לאומ</t>
  </si>
  <si>
    <t>חניון יאיר השחר-בית הקרן</t>
  </si>
  <si>
    <t>מחסני חשמל BSH</t>
  </si>
  <si>
    <t>סטימצקי-דיוטי פרי ספרים</t>
  </si>
  <si>
    <t>מטעים גשור</t>
  </si>
  <si>
    <t>מוטב לסוכנות לביטוח</t>
  </si>
  <si>
    <t>ביי-מי שוברי מתנה</t>
  </si>
  <si>
    <t>מגוון שינוי סובלימציה</t>
  </si>
  <si>
    <t>מאמא יוקרו קניון רחובות</t>
  </si>
  <si>
    <t>בי"ח קפלן רחובות</t>
  </si>
  <si>
    <t>היפר טוי רחובות</t>
  </si>
  <si>
    <t>מגדל הנביאים - חניון</t>
  </si>
  <si>
    <t>העברה באפליקציית paybox</t>
  </si>
  <si>
    <t>SZE'CHENYI GYO'GYFU:RD</t>
  </si>
  <si>
    <t>BKK AUTOMATA F29</t>
  </si>
  <si>
    <t>Budapest Gift Shop</t>
  </si>
  <si>
    <t>Gerbeaud / Onyx</t>
  </si>
  <si>
    <t>BKK AUTOMATA - A32</t>
  </si>
  <si>
    <t>MA'TYA'S-TEMPLOM GONDN</t>
  </si>
  <si>
    <t>BUDAVA'RI SIKLO' ALSO'</t>
  </si>
  <si>
    <t>אגודת אכסניות נוער בישראל</t>
  </si>
  <si>
    <t>HERTZ UK LIMITED</t>
  </si>
  <si>
    <t>SAINSBURYS SUPERMA</t>
  </si>
  <si>
    <t>WESTACRE SERVICE STATION</t>
  </si>
  <si>
    <t>BRITZ</t>
  </si>
  <si>
    <t>CO-OP GROUP 350001</t>
  </si>
  <si>
    <t>SAINSBURY'S S/MKT</t>
  </si>
  <si>
    <t>EUSTON STN SST</t>
  </si>
  <si>
    <t>PICSOLVE INTERNATIONAL L</t>
  </si>
  <si>
    <t>GWR LON PADD TO</t>
  </si>
  <si>
    <t>THE STEWARD OF CHR</t>
  </si>
  <si>
    <t>THE OXFORD GIFT SHOP</t>
  </si>
  <si>
    <t>MAGDALEN COLLEGE OXFOR</t>
  </si>
  <si>
    <t>MCDONALDS</t>
  </si>
  <si>
    <t>PRIMARK STORES LTD</t>
  </si>
  <si>
    <t>TOWER OF LONDON</t>
  </si>
  <si>
    <t>NATURAL HISTORY MSM SH</t>
  </si>
  <si>
    <t>HEATHROW RAIL LINK</t>
  </si>
  <si>
    <t>באג מולטיסיסטם בילו סנטר</t>
  </si>
  <si>
    <t>ג'יי.אר היינמן טרמינל 3</t>
  </si>
  <si>
    <t>סלאח דבאח ובניו</t>
  </si>
  <si>
    <t>דיל רמלה עזריאלי</t>
  </si>
  <si>
    <t>אור סאן הום טייל ראשון לצ</t>
  </si>
  <si>
    <t>פירט האדום בילו</t>
  </si>
  <si>
    <t>לוקר אמבין בע"מ</t>
  </si>
  <si>
    <t>סגול פרופשיונל בע"מ-גמא</t>
  </si>
  <si>
    <t>סופר פארם ראשון צפון</t>
  </si>
  <si>
    <t>DRI MICROSOFT HUP</t>
  </si>
  <si>
    <t>מקס רחובות בע"מ</t>
  </si>
  <si>
    <t>AMZN Mktp UK</t>
  </si>
  <si>
    <t>רשות הטבע והגנים בית גובר</t>
  </si>
  <si>
    <t>ספרינט מוטורוס בע"מ - פא</t>
  </si>
  <si>
    <t>רשות הטבע והגנים מצדה</t>
  </si>
  <si>
    <t>מקדונלד'ס פטרה</t>
  </si>
  <si>
    <t>א.נ ערד</t>
  </si>
  <si>
    <t>פיתוח מזרח י"ם בעמ-הגן הא</t>
  </si>
  <si>
    <t>תכשיטי אהרונזון</t>
  </si>
  <si>
    <t>אשל ב מ חומרי בנין 1999 ב</t>
  </si>
  <si>
    <t>אופיס 3000בע"מ -נס ציונה</t>
  </si>
  <si>
    <t>הלד</t>
  </si>
  <si>
    <t>שופרסל אקספרס רחובות</t>
  </si>
  <si>
    <t>חשמל בהוראת קבע דרום</t>
  </si>
  <si>
    <t>AMZN Mktp UK*MT6VL40O4</t>
  </si>
  <si>
    <t>AMZN Mktp UK*MT9LP4EH4</t>
  </si>
  <si>
    <t>AMZN Mktp UK*MT7WF0334</t>
  </si>
  <si>
    <t>חניון גזית 7</t>
  </si>
  <si>
    <t>אייל צבי חניון ירושלים</t>
  </si>
  <si>
    <t>מנהרות הכרמל-הו"ק</t>
  </si>
  <si>
    <t>הראל-ביטוח חיים</t>
  </si>
  <si>
    <t>אגד" אגודה שתופית"</t>
  </si>
  <si>
    <t>ספורט תחביב</t>
  </si>
  <si>
    <t>חיסכון (מיטב/ בנק)</t>
  </si>
  <si>
    <t>PAYPAL *INFO</t>
  </si>
  <si>
    <t>שטראוס מים בע"מ הו"ק</t>
  </si>
  <si>
    <t>אגודת ידידי מכון ויצ</t>
  </si>
  <si>
    <t>טיקטמאסטר ישראל כרטיסים</t>
  </si>
  <si>
    <t>איוונטבאז - כרטיסים</t>
  </si>
  <si>
    <t>PAYPAL *PANBAOSHAN PAN</t>
  </si>
  <si>
    <t>PAYPAL *TYLERAPALMO</t>
  </si>
  <si>
    <t>משרד התחבורה-רשיונות נהיג</t>
  </si>
  <si>
    <t>מוסך אלימלך</t>
  </si>
  <si>
    <t>בהצדעה  מופעים והצגות</t>
  </si>
  <si>
    <t>AIG ביטוח</t>
  </si>
  <si>
    <t>סוסו ובניו SUSU AND SONS</t>
  </si>
  <si>
    <t>התכנית לנוער מוכשר במתמטי</t>
  </si>
  <si>
    <t>PAYPAL *UDEMY</t>
  </si>
  <si>
    <t>PAYPAL *EMILROZENBL</t>
  </si>
  <si>
    <t>סינמה ראשל"צ מזנון</t>
  </si>
  <si>
    <t>כל בו עופר</t>
  </si>
  <si>
    <t>שף בשר</t>
  </si>
  <si>
    <t>קל גב</t>
  </si>
  <si>
    <t>SMART D3</t>
  </si>
  <si>
    <t>צומת ספרים נס ציונה</t>
  </si>
  <si>
    <t>נעלי ורדה</t>
  </si>
  <si>
    <t xml:space="preserve"> </t>
  </si>
  <si>
    <t>חניון רוטשילד</t>
  </si>
  <si>
    <t>הסתדרות העובדים הלאומית</t>
  </si>
  <si>
    <t>DAY TWO</t>
  </si>
  <si>
    <t>קואופ רחובות</t>
  </si>
  <si>
    <t>AIG ביטוח דירה</t>
  </si>
  <si>
    <t>סופרפארם אודוטוריום חיפה</t>
  </si>
  <si>
    <t>מטרופלין - תחבורה צי</t>
  </si>
  <si>
    <t>הרצל גרע מאפיות בע"מ</t>
  </si>
  <si>
    <t>א ס אורי</t>
  </si>
  <si>
    <t>מזנון ספארי קופים</t>
  </si>
  <si>
    <t>חניון פארק ויצמן רחובות</t>
  </si>
  <si>
    <t>ALIEXPRESS.COM</t>
  </si>
  <si>
    <t>נספרסו</t>
  </si>
  <si>
    <t>תמנון רחובות בעיר-גמא</t>
  </si>
  <si>
    <t>בי דראגסטורס רחובות מזרח</t>
  </si>
  <si>
    <t>דלק מנטה קמעונאות דרכים שלום נס ציונה</t>
  </si>
  <si>
    <t>חוצה צפון בע"מ - הו"ק</t>
  </si>
  <si>
    <t>ריקושט</t>
  </si>
  <si>
    <t>חברת קדישא רחובות</t>
  </si>
  <si>
    <t>ש ה ר רחובות בעמ</t>
  </si>
  <si>
    <t>מרכז הפרחים בנצי</t>
  </si>
  <si>
    <t>אמירים מרכז יעוץ</t>
  </si>
  <si>
    <t>שרש ערכות נוודים</t>
  </si>
  <si>
    <t>הנפקת כרטיס-חליפי הנפקה</t>
  </si>
  <si>
    <t>PAYPAL *HELD</t>
  </si>
  <si>
    <t>כללית רחובות הדר</t>
  </si>
  <si>
    <t>סנטר 1 שערי ירושלים בעמ</t>
  </si>
  <si>
    <t>ג'ון ברייס הדרכה בע"מ</t>
  </si>
  <si>
    <t>טלזר 019 שירותי תקשורת בי</t>
  </si>
  <si>
    <t>בורגר סאלון ראשון לציון</t>
  </si>
  <si>
    <t>מש - קר בע"מ</t>
  </si>
  <si>
    <t>סודוך השלום</t>
  </si>
  <si>
    <t>מן האדמה דוכן גבינות</t>
  </si>
  <si>
    <t>שופרסל דיל-רחובות</t>
  </si>
  <si>
    <t>חניון בקר</t>
  </si>
  <si>
    <t>עגלה כבודה נתבג</t>
  </si>
  <si>
    <t>MCDONALD'S</t>
  </si>
  <si>
    <t>AVIS RENT-A-CAR</t>
  </si>
  <si>
    <t>AVANTI 4508/ LEOGANG 5</t>
  </si>
  <si>
    <t>MPREIS 8753</t>
  </si>
  <si>
    <t>SHELL EBEN NORD</t>
  </si>
  <si>
    <t>Abtenauer Bergbahne</t>
  </si>
  <si>
    <t>BILLA 5078</t>
  </si>
  <si>
    <t>FOTO MOBIL GMBH</t>
  </si>
  <si>
    <t>McDonalds 13</t>
  </si>
  <si>
    <t>MOZARTS GEBURTSHAUS</t>
  </si>
  <si>
    <t>TG ALTSTADTGARAGE</t>
  </si>
  <si>
    <t>RASTANLAGE IRSCHENBERG</t>
  </si>
  <si>
    <t>Raststaette Irschenberg</t>
  </si>
  <si>
    <t>דיוטי פרי ג'יי.אר טרמינל</t>
  </si>
  <si>
    <t>למטייל רחובות</t>
  </si>
  <si>
    <t>ארומה רוטשילד</t>
  </si>
  <si>
    <t>PAYPAL *KEEPER</t>
  </si>
  <si>
    <t>סונול סתריה</t>
  </si>
  <si>
    <t>AMZNMktplace</t>
  </si>
  <si>
    <t>סנטרל פארק בע"מ חניון פסג</t>
  </si>
  <si>
    <t>אייס בילו</t>
  </si>
  <si>
    <t>AMZN Mktp UK*MH82M3HP4</t>
  </si>
  <si>
    <t>MADAME TUSSAUDS</t>
  </si>
  <si>
    <t>דמי חבר שופרסל</t>
  </si>
  <si>
    <t>הפסקת אוכל</t>
  </si>
  <si>
    <t>מוביסל גבעתיים</t>
  </si>
  <si>
    <t>רכבת ישראל-ת"א השלום</t>
  </si>
  <si>
    <t>היכל התרבות</t>
  </si>
  <si>
    <t>יינות ביתן ראשלצ שמוטקין</t>
  </si>
  <si>
    <t>מקדונלד'ס דלק גבעת אולגה</t>
  </si>
  <si>
    <t>העברה ב BIT בנה"פ</t>
  </si>
  <si>
    <t>יד שרה</t>
  </si>
  <si>
    <t>הפנינג</t>
  </si>
  <si>
    <t>רולדין עזריאלי</t>
  </si>
  <si>
    <t>חניון מרכז עזריאלי בע"מ</t>
  </si>
  <si>
    <t>קופיסטיישן גון ברייס</t>
  </si>
  <si>
    <t>בזיל הזול רחובות</t>
  </si>
  <si>
    <t>YAP REPPEP</t>
  </si>
  <si>
    <t>קפה עלמה בע"מ -גבע</t>
  </si>
  <si>
    <t>מאפה נאמן רחבת השקם</t>
  </si>
  <si>
    <t>אלדד וצבר</t>
  </si>
  <si>
    <t>יינות ביתן רחובות</t>
  </si>
  <si>
    <t>פז / YELLOW יד ויצמן</t>
  </si>
  <si>
    <t>סופר פארם -רחובות החדשה</t>
  </si>
  <si>
    <t>חשמל ישיר בע"מ</t>
  </si>
  <si>
    <t>חניון גן העיר</t>
  </si>
  <si>
    <t>MARKS/SPENCER PLC</t>
  </si>
  <si>
    <t>STARBUCKS T5A</t>
  </si>
  <si>
    <t>CO-OP GROUP FOOD</t>
  </si>
  <si>
    <t>אייבורי מחשבים</t>
  </si>
  <si>
    <t>הראל ביטוח חו"ל מזדמן</t>
  </si>
  <si>
    <t>רכבת ישראל- נמל תעופה בן</t>
  </si>
  <si>
    <t>מנפיק</t>
  </si>
  <si>
    <t>סכום לחיוב</t>
  </si>
  <si>
    <t>איסתא ישראל אינטרנט</t>
  </si>
  <si>
    <t>סלופארק טכנולוגיות  בעמ</t>
  </si>
  <si>
    <t>מגדל חיים/בריאות</t>
  </si>
  <si>
    <t>גי סי יורופ</t>
  </si>
  <si>
    <t>יוחננוף  - אחד העם</t>
  </si>
  <si>
    <t>מדיטון רשת מרכזים רפואיים</t>
  </si>
  <si>
    <t>חיסכון (בנק)</t>
  </si>
  <si>
    <t>חיסכון (מיטב)</t>
  </si>
  <si>
    <t>הערות פנימיות</t>
  </si>
  <si>
    <t>אשראי מיכה</t>
  </si>
  <si>
    <t>אשראי אורנה</t>
  </si>
  <si>
    <t>שופרסל</t>
  </si>
  <si>
    <t>סוג כרטיס</t>
  </si>
  <si>
    <t>פירוט נוסף</t>
  </si>
  <si>
    <t>מיכאל 7520</t>
  </si>
  <si>
    <t>אורנה 2 0450</t>
  </si>
  <si>
    <t>מאפה נאמן  רחבת השקם</t>
  </si>
  <si>
    <t>רב קו אונליין אגד</t>
  </si>
  <si>
    <t>חניון קניון עזריאלי ירושל</t>
  </si>
  <si>
    <t>קפה תמרה</t>
  </si>
  <si>
    <t>ורדינון</t>
  </si>
  <si>
    <t>ויזה פלטינום</t>
  </si>
  <si>
    <t>מקור</t>
  </si>
  <si>
    <t>למבדה  - רחובות</t>
  </si>
  <si>
    <t>AMZN Mktp US*P18EC5Q23</t>
  </si>
  <si>
    <t>PAYPAL *BYCLICK</t>
  </si>
  <si>
    <t>מסעדת עזורה</t>
  </si>
  <si>
    <t>GOOGLE *GPFamilyKeeper</t>
  </si>
  <si>
    <t>סופר פארם תחנה מרכזית ירו</t>
  </si>
  <si>
    <t>מקס ירושלים התחנה</t>
  </si>
  <si>
    <t>הבית  בעין  חוד</t>
  </si>
  <si>
    <t>מופת - קבוצה לקידום הוראה</t>
  </si>
  <si>
    <t>דיגדוגים</t>
  </si>
  <si>
    <t>טיב טעם רשתות  רחובות</t>
  </si>
  <si>
    <t>AMZN Mktp US*E83OS84T3</t>
  </si>
  <si>
    <t>GOOGLE *Yarsa</t>
  </si>
  <si>
    <t>עתידים חברה לתעשיות עתירו</t>
  </si>
  <si>
    <t>שופ הרים-צמרת</t>
  </si>
  <si>
    <t>PAYPAL *504675969 5046</t>
  </si>
  <si>
    <t>רכבת ישראל- אינטרנט</t>
  </si>
  <si>
    <t>ד"ר יעל יעקבי</t>
  </si>
  <si>
    <t>GOOGLE *Google Storage</t>
  </si>
  <si>
    <t>GOOGLE* GPFamilyKeeper</t>
  </si>
  <si>
    <t>היי ביז בע"מ</t>
  </si>
  <si>
    <t>גליקסמן שיווק ביצים</t>
  </si>
  <si>
    <t>GOOGLE* RemotePhone</t>
  </si>
  <si>
    <t>שגריר מסופונים</t>
  </si>
  <si>
    <t>מתוק התפוח</t>
  </si>
  <si>
    <t>PAYPAL *E-VRIT</t>
  </si>
  <si>
    <t>סיאם סנטר</t>
  </si>
  <si>
    <t>קרית החינוך ע"ש דה שליט</t>
  </si>
  <si>
    <t>אטרקציה ד.ש. עסקים בעמ-צמ</t>
  </si>
  <si>
    <t>שמעון סיון- פרחי חן</t>
  </si>
  <si>
    <t>קונדטורית פארין</t>
  </si>
  <si>
    <t>המסלקה הפנסיונית</t>
  </si>
  <si>
    <t>חד פעמי רחובות</t>
  </si>
  <si>
    <t>משקאות הטורקי בע"מ</t>
  </si>
  <si>
    <t>MINDPLAY</t>
  </si>
  <si>
    <t>פלקו בע"מ גלידות פלדמן</t>
  </si>
  <si>
    <t>א.ש צעצועים ילדים ודרקוני</t>
  </si>
  <si>
    <t>מקס איט פי</t>
  </si>
  <si>
    <t>מנוי מטמון</t>
  </si>
  <si>
    <t>בנים חדש</t>
  </si>
  <si>
    <t>העברה ב bit בנ</t>
  </si>
  <si>
    <t>google* gpfami</t>
  </si>
  <si>
    <t>הראל-ביטוח חיי</t>
  </si>
  <si>
    <t>משתלת סלונר בע</t>
  </si>
  <si>
    <t xml:space="preserve">      mindplay</t>
  </si>
  <si>
    <t>גליקסמן שיווק</t>
  </si>
  <si>
    <t>א.ש צעצועים יל</t>
  </si>
  <si>
    <t>הרצל גרע מאפיו</t>
  </si>
  <si>
    <t>הסתדרות העובדי</t>
  </si>
  <si>
    <t xml:space="preserve">        paybox</t>
  </si>
  <si>
    <t>למטייל נס ציונ</t>
  </si>
  <si>
    <t>דמי כרטיס בנק</t>
  </si>
  <si>
    <t xml:space="preserve">   ענק הישיבה</t>
  </si>
  <si>
    <t>הנחת מפתח לעוש</t>
  </si>
  <si>
    <t>אשל ב מ חומרי</t>
  </si>
  <si>
    <t>חפציבה ספרים ו</t>
  </si>
  <si>
    <t>ע.ר נגרים בע"מ</t>
  </si>
  <si>
    <t xml:space="preserve">   החברה העירו</t>
  </si>
  <si>
    <t>ארומה  תחנה מרכזית ירושלי</t>
  </si>
  <si>
    <t>Google</t>
  </si>
  <si>
    <t>WWW.ALIEXPRESS.COM</t>
  </si>
  <si>
    <t>PAYPAL *MYNAMENECKL</t>
  </si>
  <si>
    <t>PAYPAL *JIANGONGSHA JI</t>
  </si>
  <si>
    <t>תחנת דלק דבון</t>
  </si>
  <si>
    <t>ארומה מצפה רמון</t>
  </si>
  <si>
    <t>AMZN Mktp UK*IE1CK9YR5</t>
  </si>
  <si>
    <t>סופר פארטי</t>
  </si>
  <si>
    <t>ענק הישיבה והשינה בע"מ</t>
  </si>
  <si>
    <t>סופר פארם שער רחובות 147</t>
  </si>
  <si>
    <t>ישראכרט</t>
  </si>
  <si>
    <t>טוב</t>
  </si>
  <si>
    <t>סופרפארם רחובות הרצל 81</t>
  </si>
  <si>
    <t>טיקצ'אק כרטיסים *6565</t>
  </si>
  <si>
    <t>התכנית לנוער מ</t>
  </si>
  <si>
    <t xml:space="preserve">      picabook</t>
  </si>
  <si>
    <t>golf / co בילו</t>
  </si>
  <si>
    <t>פיצה האט מצפה</t>
  </si>
  <si>
    <t>תמונות ברמות ב</t>
  </si>
  <si>
    <t>סטימצקי קניון</t>
  </si>
  <si>
    <t xml:space="preserve">   מרכז הנופש</t>
  </si>
  <si>
    <t>כימיה בקלות</t>
  </si>
  <si>
    <t>מרכז לגביית קנ</t>
  </si>
  <si>
    <t>??</t>
  </si>
  <si>
    <t>כל בו יהודה - הרצל</t>
  </si>
  <si>
    <t>זול סטוק</t>
  </si>
  <si>
    <t>שבט שניר- הסתדרות  הצופים</t>
  </si>
  <si>
    <t>הכל לבניין שושי</t>
  </si>
  <si>
    <t>רשות הדואר-רכישת מוצר דאר</t>
  </si>
  <si>
    <t>אטרקציה ד.ש. עסקים בעמ</t>
  </si>
  <si>
    <t>זו סנטר</t>
  </si>
  <si>
    <t>ארכה</t>
  </si>
  <si>
    <t>כל בו צח</t>
  </si>
  <si>
    <t>נספרסו ישראל בע"מ</t>
  </si>
  <si>
    <t>ננה בננה ירקות</t>
  </si>
  <si>
    <t>אופיס 3000בעמ -נס ציונה</t>
  </si>
  <si>
    <t>ארומה בילו סנטר</t>
  </si>
  <si>
    <t>שופרסל-דיל בילו</t>
  </si>
  <si>
    <t>פל רום שירותים ארוך</t>
  </si>
  <si>
    <t>ALIEXPRESS.COM ALIEXPRESS</t>
  </si>
  <si>
    <t>AMZN Mktp US*V35B24Q63</t>
  </si>
  <si>
    <t>פאנזינג אינטרנשיונל בע"מ</t>
  </si>
  <si>
    <t>סי קפה  מגל מערב</t>
  </si>
  <si>
    <t>רשות הטבע והגנים אשקלון</t>
  </si>
  <si>
    <t>חפציבה ספרים ומכשירי כתיבה בעמ</t>
  </si>
  <si>
    <t>פז YELLOW קרית עקרון</t>
  </si>
  <si>
    <t>מיטב דש</t>
  </si>
  <si>
    <t>בנק פקדונות</t>
  </si>
  <si>
    <t>בנק שוק הון</t>
  </si>
  <si>
    <t>בזק-החברה לתקשורת בע"מ</t>
  </si>
  <si>
    <t>ZWIFT, INC.</t>
  </si>
  <si>
    <t>עמלת תחליפי בדיגיטל</t>
  </si>
  <si>
    <t>תשלום לועדי בתים</t>
  </si>
  <si>
    <t>קיי אס פי אקספרס בע"מ</t>
  </si>
  <si>
    <t>בזק הוראות קבע</t>
  </si>
  <si>
    <t>מרקט התחנה</t>
  </si>
  <si>
    <t>אקסס-סי אם אס</t>
  </si>
  <si>
    <t>ספיד אופן</t>
  </si>
  <si>
    <t>ארומה תחנה מרכזית ירושלי</t>
  </si>
  <si>
    <t>מזנוני הספארי</t>
  </si>
  <si>
    <t>אדמה בקתה קולינרית</t>
  </si>
  <si>
    <t>אוריאל גרופי</t>
  </si>
  <si>
    <t>ספארי</t>
  </si>
  <si>
    <t>מאה בירות בע"מ</t>
  </si>
  <si>
    <t>קפה הבירה בע"מ</t>
  </si>
  <si>
    <t>בהצלחה  אדיוקשיין  בעמ</t>
  </si>
  <si>
    <t>ריף כפר דולפינים באילת בע</t>
  </si>
  <si>
    <t>אטרקציה מהיבואן לצרכן</t>
  </si>
  <si>
    <t>PAYPAL *MDYH10HWZHL</t>
  </si>
  <si>
    <t>מסכות</t>
  </si>
  <si>
    <t>דקטלון יישראל בעמ</t>
  </si>
  <si>
    <t>כלבו נס ציונה</t>
  </si>
  <si>
    <t>PAYPAL *REMARKABLE</t>
  </si>
  <si>
    <t>אול מובייל תקשורת בע"מ</t>
  </si>
  <si>
    <t>מצפה תת ימי</t>
  </si>
  <si>
    <t>מרכז לגביית קנסות</t>
  </si>
  <si>
    <t>רב קו אונליין</t>
  </si>
  <si>
    <t>ויזה 3669</t>
  </si>
  <si>
    <t>PAYPAL *EUROSPORTSA</t>
  </si>
  <si>
    <t>PAYPAL *MAH HASHMAL</t>
  </si>
  <si>
    <t>יופיי העמותה לפיתוח תשתית</t>
  </si>
  <si>
    <t>פינג'אן - שוורץ לירן</t>
  </si>
  <si>
    <t>GOOGLE* JoyTunes</t>
  </si>
  <si>
    <t>מועדון טוב</t>
  </si>
  <si>
    <t>GOOGLE* ESET LLC</t>
  </si>
  <si>
    <t>AMZN Mktp UK*055F241Z5</t>
  </si>
  <si>
    <t>פ.ד אנרגיה בע"מ</t>
  </si>
  <si>
    <t>פזYELLOW/     רמה רחובות</t>
  </si>
  <si>
    <t>זול סטוק -ירושלים</t>
  </si>
  <si>
    <t>BLS*WONDERLICTESTPREP</t>
  </si>
  <si>
    <t>קרייזי ליין</t>
  </si>
  <si>
    <t>אופנת רנואר</t>
  </si>
  <si>
    <t>נייקי סניף אילת</t>
  </si>
  <si>
    <t>המטבחון של עמוס</t>
  </si>
  <si>
    <t>חניון יטבתה</t>
  </si>
  <si>
    <t>סנובה טיולי צלילה במים רד</t>
  </si>
  <si>
    <t>סופר חוף דרום</t>
  </si>
  <si>
    <t>ביס"ש אילת-החב' להגנת הטב</t>
  </si>
  <si>
    <t>נגב ברמה אחרת בע"מ</t>
  </si>
  <si>
    <t>ריבית לקוחות.</t>
  </si>
  <si>
    <t>שופרסל דיל אילת</t>
  </si>
  <si>
    <t>חידוש כרטיס מטמון</t>
  </si>
  <si>
    <t>מתה</t>
  </si>
  <si>
    <t>?</t>
  </si>
  <si>
    <t>PAYPAL *NETFLIXINTE</t>
  </si>
  <si>
    <t>סאינט ,לקת בע"מ</t>
  </si>
  <si>
    <t>רשות הטבע והגנים מגידו</t>
  </si>
  <si>
    <t>רשות הטבע והגנים עין עבדת</t>
  </si>
  <si>
    <t>רשות הטבע והגנים חוף דור</t>
  </si>
  <si>
    <t>רשות הטבע והגנים גמלא</t>
  </si>
  <si>
    <t>רשות הטבע והגנים בניאס</t>
  </si>
  <si>
    <t>גן לאומי מבצר נמרוד</t>
  </si>
  <si>
    <t>דלק מנטה  קצרין</t>
  </si>
  <si>
    <t>רשות הטבע והגנים ציפורי</t>
  </si>
  <si>
    <t>PAYPAL *GDGTLYYNMYM</t>
  </si>
  <si>
    <t>גולדה פארק המדע בעמ</t>
  </si>
  <si>
    <t>סופר-פארם רחובות ההולנדית</t>
  </si>
  <si>
    <t>נה נה רשת חנויות כל המשפח</t>
  </si>
  <si>
    <t>החברה להגנת הטבע-בי"ס שדה</t>
  </si>
  <si>
    <t xml:space="preserve"> נופש</t>
  </si>
  <si>
    <t>בי דראגסטורס נס ציונה</t>
  </si>
  <si>
    <t>אורנה 3 3669</t>
  </si>
  <si>
    <t>Google GPFamilyKeeper</t>
  </si>
  <si>
    <t>שבולת השרון הרצל</t>
  </si>
  <si>
    <t>גולף בילו</t>
  </si>
  <si>
    <t>חניון בר אילן</t>
  </si>
  <si>
    <t>אלונית - מגל מערב</t>
  </si>
  <si>
    <t>משרד התחבורה, אגרה למבחן</t>
  </si>
  <si>
    <t>Google Reason FamKeep</t>
  </si>
  <si>
    <t>הכי זול בארץ</t>
  </si>
  <si>
    <t>PAYPAL *ALIPAY EUR</t>
  </si>
  <si>
    <t>טיב טעם רשתות ראשון מזרח</t>
  </si>
  <si>
    <t>רובן חיפה</t>
  </si>
  <si>
    <t>AMZN Mktp UK*ZM1JJ12K5</t>
  </si>
  <si>
    <t xml:space="preserve"> חיסכון מההכנסות</t>
  </si>
  <si>
    <t>סה"כ חיסכון שנתי</t>
  </si>
  <si>
    <t>יינות ביתן טופמרקט ת. מרכ</t>
  </si>
  <si>
    <t>חסכון שנתי</t>
  </si>
  <si>
    <t>סיכום שנתי</t>
  </si>
  <si>
    <t>רשות האוכלוסין וההגירה ?</t>
  </si>
  <si>
    <t>מסעדת נאיה</t>
  </si>
  <si>
    <t>גולף א.ק</t>
  </si>
  <si>
    <t>PAYPAL *HOT CINEMA</t>
  </si>
  <si>
    <t>KSP רחובות</t>
  </si>
  <si>
    <t>מרפאת כל חי-צמרת</t>
  </si>
  <si>
    <t>רשות הטבע והגנים עין גדי</t>
  </si>
  <si>
    <t>נחל דוד- חנות</t>
  </si>
  <si>
    <t>ביס"ש עין גדי-החב' להגנת</t>
  </si>
  <si>
    <t>הפסקת אוכל מקס איט ניכיונ</t>
  </si>
  <si>
    <t>אתר הסחר גולברי/סקארה</t>
  </si>
  <si>
    <t>איי איי די ג'נומיקס בע"מ</t>
  </si>
  <si>
    <t>סקארה קוסמטיקס בע"מ</t>
  </si>
  <si>
    <t>עין גדי תיירות אגש"ח</t>
  </si>
  <si>
    <t>טר"ם מכבים מודיעין</t>
  </si>
  <si>
    <t>הייטקזון - מתנות ואתר</t>
  </si>
  <si>
    <t>ד"ר סגל מנדל- רופא שיניים</t>
  </si>
  <si>
    <t>ריף כפר הדולפינים באילת ב</t>
  </si>
  <si>
    <t>משרד המשפטים - רישום והסד</t>
  </si>
  <si>
    <t>אתר החרמון</t>
  </si>
  <si>
    <t>לשכת טכנולוגיות המידע ביש</t>
  </si>
  <si>
    <t>אקו טיולי מדבר בעמ</t>
  </si>
  <si>
    <t>אסקייפ רום אילת</t>
  </si>
  <si>
    <t>גומובייל</t>
  </si>
  <si>
    <t>פינתי ת.מרכזית ירושלים</t>
  </si>
  <si>
    <t>אבא חטוב בע"מ</t>
  </si>
  <si>
    <t>GOLF &amp; CO קניון רחובות</t>
  </si>
  <si>
    <t>אקשן טויס</t>
  </si>
  <si>
    <t>שוקה בעיר נס ציונה</t>
  </si>
  <si>
    <t>רשות הטבע והגנים אפק</t>
  </si>
  <si>
    <t>רשות הטבע והגנים עין אפק</t>
  </si>
  <si>
    <t>ג'ו בפארק</t>
  </si>
  <si>
    <t>סקי חרמון בע"מ</t>
  </si>
  <si>
    <t>מקדונלדס  עמיעד</t>
  </si>
  <si>
    <t>סרט</t>
  </si>
  <si>
    <t>סמייל היובל רחובות</t>
  </si>
  <si>
    <t>קלאסוס בע"מ</t>
  </si>
  <si>
    <t>שרותי בריאות כללית הוק</t>
  </si>
  <si>
    <t>חזי חממה</t>
  </si>
  <si>
    <t>פז / YELLOW הר הכרמל</t>
  </si>
  <si>
    <t>סופר פארם אודיטוריום 111</t>
  </si>
  <si>
    <t>דיזול אדר</t>
  </si>
  <si>
    <t>חניון זדל</t>
  </si>
  <si>
    <t>אגסי גריל בר</t>
  </si>
  <si>
    <t>ממסי שירותי דרך וגרירה -</t>
  </si>
  <si>
    <t>שופרסל שלי כרמל קלר</t>
  </si>
  <si>
    <t>Tiqets.com</t>
  </si>
  <si>
    <t>www.headout.com</t>
  </si>
  <si>
    <t>מרכז הנופש בעמ</t>
  </si>
  <si>
    <t>החברה העירונית רחובות לתרבות ספורט ונופש</t>
  </si>
  <si>
    <t>העברה ב BIT בנהפ</t>
  </si>
  <si>
    <t>ים של פרחים</t>
  </si>
  <si>
    <t>ניין ווסט קניון רחובות</t>
  </si>
  <si>
    <t>סופר פארם רחובות 45</t>
  </si>
  <si>
    <t>ברשקה רחובות</t>
  </si>
  <si>
    <t>GetYourGuide Tickets</t>
  </si>
  <si>
    <t>ticks.co.il</t>
  </si>
  <si>
    <t>סלון את</t>
  </si>
  <si>
    <t>PCHELPSOFT</t>
  </si>
  <si>
    <t>AMZN Mktp US*A37RU39K3</t>
  </si>
  <si>
    <t>דוכן הפרדסן מקס איט ניכיו</t>
  </si>
  <si>
    <t>קידום ידע והשכלה חולון</t>
  </si>
  <si>
    <t>תחביבן מוצרי יצירה-פאיימי</t>
  </si>
  <si>
    <t>מרכז ארצי לבחינות ולהערכה</t>
  </si>
  <si>
    <t>סופר פארם מרכז השלום 61</t>
  </si>
  <si>
    <t>אחוזת החוף חניון מדעי החב</t>
  </si>
  <si>
    <t>דיגיטלי 770 בע"מ</t>
  </si>
  <si>
    <t>לידרסאפ טכנולוגיות בע"מ</t>
  </si>
  <si>
    <t>הראל-ביטוחי חו"ל</t>
  </si>
  <si>
    <t>אגד קופות קהל</t>
  </si>
  <si>
    <t>מכון נועם</t>
  </si>
  <si>
    <t>ביטוח הראל</t>
  </si>
  <si>
    <t>סופר-פארם ישפרו נס ציונה</t>
  </si>
  <si>
    <t>סופר פארם תחנה מרכזית י-ם</t>
  </si>
  <si>
    <t>אתרים</t>
  </si>
  <si>
    <t>PAYPAL *AIRALO</t>
  </si>
  <si>
    <t>WOLT</t>
  </si>
  <si>
    <t>ויגו תכשיטים</t>
  </si>
  <si>
    <t>Hotel on Booking.com</t>
  </si>
  <si>
    <t>רקמת רויאל - רחובות</t>
  </si>
  <si>
    <t>זול סטוק יפו</t>
  </si>
  <si>
    <t>restauracja at</t>
  </si>
  <si>
    <t>makaroniarnia</t>
  </si>
  <si>
    <t>omv 2414</t>
  </si>
  <si>
    <t>slovnaft-sk304</t>
  </si>
  <si>
    <t>oz zdroj preda</t>
  </si>
  <si>
    <t>gopass.travel</t>
  </si>
  <si>
    <t>remarkable</t>
  </si>
  <si>
    <t>עלית וי.אי.פי בע"מ</t>
  </si>
  <si>
    <t>Google ESET LLC</t>
  </si>
  <si>
    <t>AMZN Mktp UK*IY3N068H5</t>
  </si>
  <si>
    <t>PAYPAL *BARELYDIGIT SK</t>
  </si>
  <si>
    <t>ג'יי.אר.-היינמן טרמינל 3</t>
  </si>
  <si>
    <t>אילנס רוטנדה מרכזית</t>
  </si>
  <si>
    <t>INTER BEST 97 POLSKA</t>
  </si>
  <si>
    <t>WIZZ AIR WIFF4A BUDAPEST HU</t>
  </si>
  <si>
    <t>מנוי למטמון</t>
  </si>
  <si>
    <t>רשות הטבע והגנים - חוף פל</t>
  </si>
  <si>
    <t>תשלום ועד בית</t>
  </si>
  <si>
    <t>עוף והודו ברקת חנות המפעל</t>
  </si>
  <si>
    <t>חניון דובנוב</t>
  </si>
  <si>
    <t>PAYPAL *ALIPAYSINGA</t>
  </si>
  <si>
    <t>BUYME</t>
  </si>
  <si>
    <t>הרצל גרע מאפיות בעמ</t>
  </si>
  <si>
    <t>שלי רחובות</t>
  </si>
  <si>
    <t>דניאל ניסימוב פיצוחים מקס</t>
  </si>
  <si>
    <t>פוקס בילו סנטר</t>
  </si>
  <si>
    <t>גאדג'טשופ-צמרת</t>
  </si>
  <si>
    <t>מקדונלד'ס עין עבדת</t>
  </si>
  <si>
    <t>אקווה סטאר חנות</t>
  </si>
  <si>
    <t>ארה ביץ</t>
  </si>
  <si>
    <t>רשות הטבע- השומרוני הטוב</t>
  </si>
  <si>
    <t>ROLL@SHOP</t>
  </si>
  <si>
    <t>IL.CO.INFO-SALEצמרת</t>
  </si>
  <si>
    <t>BIT</t>
  </si>
  <si>
    <t>אגודת ידידי מכון ויצמן</t>
  </si>
  <si>
    <t>HOPON-DAN</t>
  </si>
  <si>
    <t>aliexpress</t>
  </si>
  <si>
    <t>משולם תשלום ועד בית</t>
  </si>
  <si>
    <t>דני בתי מאפה</t>
  </si>
  <si>
    <t>שופרסל יש רחובות סירני</t>
  </si>
  <si>
    <t>חנות החוויות כאל</t>
  </si>
  <si>
    <t>אורבן קופיקס בע"מ רחובות</t>
  </si>
  <si>
    <t>מיקמיק</t>
  </si>
  <si>
    <t>MUSEE ORSAY VEL 2711850</t>
  </si>
  <si>
    <t>EPML DE INTERNET2333280</t>
  </si>
  <si>
    <t>WIZZ AIR    UBKN2V</t>
  </si>
  <si>
    <t>TRANSAVIA   Z48QQE</t>
  </si>
  <si>
    <t>EUROSTAR INTERNATIONAL LI</t>
  </si>
  <si>
    <t>TM *TICKETMASTERUK</t>
  </si>
  <si>
    <t>Hotel at Booking.com</t>
  </si>
  <si>
    <t>הרועה בשושנים מוזס רוטשיל</t>
  </si>
  <si>
    <t>tickets 863218</t>
  </si>
  <si>
    <t>דור אלון פארק המדע</t>
  </si>
  <si>
    <t>הלד (צילום ) רחובות</t>
  </si>
  <si>
    <t>אקשן טויס רחובות</t>
  </si>
  <si>
    <t>KFC  יכין</t>
  </si>
  <si>
    <t>BIT-BANK HAPOALIM</t>
  </si>
  <si>
    <t>סופר שוק יוחננוף</t>
  </si>
  <si>
    <t>טופ טן</t>
  </si>
  <si>
    <t>מ. יוחננוף ובניו-  רחובות</t>
  </si>
  <si>
    <t>צחי זו סנטר בעמ-צמרת</t>
  </si>
  <si>
    <t>סטימצקי בילו</t>
  </si>
  <si>
    <t>רשת כוורת בצהל</t>
  </si>
  <si>
    <t>ע.ר. ריהוט ומערכות שינה ב</t>
  </si>
  <si>
    <t>אשל חומרי בניין-צמרת</t>
  </si>
  <si>
    <t>גאדג'ט מובייל</t>
  </si>
  <si>
    <t>לחייל ולטייל רחובות</t>
  </si>
  <si>
    <t>מגן דוד אדום</t>
  </si>
  <si>
    <t>סיטי מרקט נתינה באהבה בע</t>
  </si>
  <si>
    <t>קפה עלית רכבת תל אביב השל</t>
  </si>
  <si>
    <t>ספרינט מוטורוס בעמ - דר</t>
  </si>
  <si>
    <t>ביטוח בריאות קולקטיב עובדי מדינה</t>
  </si>
  <si>
    <t>פירות ששי כהן</t>
  </si>
  <si>
    <t>שף בשר-א. י מעדני בשר צמר</t>
  </si>
  <si>
    <t>כפר גלעדי - משי ש.מ יבוא</t>
  </si>
  <si>
    <t>בזאר פינסקר</t>
  </si>
  <si>
    <t>קונפידנס מערכות</t>
  </si>
  <si>
    <t>סיטונאות המרכז</t>
  </si>
  <si>
    <t>מ. יוחננוף ובניו- רחובות</t>
  </si>
  <si>
    <t>Google CmonApp</t>
  </si>
  <si>
    <t>כללית רמלה מרכז</t>
  </si>
  <si>
    <t>LUFTHANSA   2202491061339</t>
  </si>
  <si>
    <t>LUFTHANSA   2202491061340</t>
  </si>
  <si>
    <t>LUFTHANSA   2202491061341</t>
  </si>
  <si>
    <t>LUFTHANSA   2202491061342</t>
  </si>
  <si>
    <t>LUFTHANSA   2204004495846</t>
  </si>
  <si>
    <t>LUFTHANSA   2204004495847</t>
  </si>
  <si>
    <t>LUFTHANSA   2204004495848</t>
  </si>
  <si>
    <t>LUFTHANSA   2204004495849</t>
  </si>
  <si>
    <t>LUFTHANSA   2204004495838</t>
  </si>
  <si>
    <t>LUFTHANSA   2204004495839</t>
  </si>
  <si>
    <t>LUFTHANSA   2204004495840</t>
  </si>
  <si>
    <t>LUFTHANSA   2204004495841</t>
  </si>
  <si>
    <t>LUFTHANSA   2204004495842</t>
  </si>
  <si>
    <t>LUFTHANSA   2204004495843</t>
  </si>
  <si>
    <t>LUFTHANSA   2204004495844</t>
  </si>
  <si>
    <t>LUFTHANSA   2204004495845</t>
  </si>
  <si>
    <t>שוברים דיגיטליים - CAL</t>
  </si>
  <si>
    <t>פרעון +30</t>
  </si>
  <si>
    <t>פז אפליקציית יילו</t>
  </si>
  <si>
    <t>סגול פרופשיונל בעמ-גמא</t>
  </si>
  <si>
    <t>ארומה אפליקציה</t>
  </si>
  <si>
    <t>שופרסל בעמ רכישת תווים</t>
  </si>
  <si>
    <t>שבולת השרון  בילו</t>
  </si>
  <si>
    <t>סטימצקי שווק אינטרנט</t>
  </si>
  <si>
    <t>כללית בימ"ק  בת ימון</t>
  </si>
  <si>
    <t>מזרחי ובניו בת ימון</t>
  </si>
  <si>
    <t>רשות הטבע והגנים עין חניה</t>
  </si>
  <si>
    <t>רשות הטבע והגנים קסטל</t>
  </si>
  <si>
    <t>שופרסל SHOP&amp;ROLL</t>
  </si>
  <si>
    <t>% רווח</t>
  </si>
  <si>
    <t>באג נס ציונה</t>
  </si>
  <si>
    <t>סאיק הנדסה ובנין בע"מ-צמר</t>
  </si>
  <si>
    <t>אקסטרים 5 בע"מ</t>
  </si>
  <si>
    <t>קפה עלית רכבת תל אביב ההג</t>
  </si>
  <si>
    <t>BKG*BOOKING.COM HOTEL</t>
  </si>
  <si>
    <t>שלגוגו</t>
  </si>
  <si>
    <t>Amazon.co.uk*TI8UP6SZ5</t>
  </si>
  <si>
    <t>שיינס מאפיות בעמ</t>
  </si>
  <si>
    <t>CELLO</t>
  </si>
  <si>
    <t>AVANTI 5546</t>
  </si>
  <si>
    <t>McDonalds 72</t>
  </si>
  <si>
    <t>LANDHAUSGARAGE</t>
  </si>
  <si>
    <t>Agip Service-Station</t>
  </si>
  <si>
    <t>Fisser Bergbahnen</t>
  </si>
  <si>
    <t>Eibsee - Bootsverleih</t>
  </si>
  <si>
    <t>MPREIS FIL 8078</t>
  </si>
  <si>
    <t>SHELL SCHOENBERG 5605</t>
  </si>
  <si>
    <t>Natur Eispalast</t>
  </si>
  <si>
    <t>MPREIS FIL 8047</t>
  </si>
  <si>
    <t>MCDONALDS 01066</t>
  </si>
  <si>
    <t>טליה בר-און</t>
  </si>
  <si>
    <t>הודיס בעמ</t>
  </si>
  <si>
    <t>יוגו קניון רחובות</t>
  </si>
  <si>
    <t>PAYTR. *AHLICENSE</t>
  </si>
  <si>
    <t>Europcar</t>
  </si>
  <si>
    <t>בילו - בון ספורט בע"מ</t>
  </si>
  <si>
    <t>יחפים/ליידי קומפורט</t>
  </si>
  <si>
    <t>הוט סינימה רחובות</t>
  </si>
  <si>
    <t>טל</t>
  </si>
  <si>
    <t>AMZN Mktp UK*1F2TZ00G4</t>
  </si>
  <si>
    <t>טמבור הסנטר</t>
  </si>
  <si>
    <t>BKG*HOTEL AT BOOKING.C</t>
  </si>
  <si>
    <t>רשות הטבע והגנים חוף אלמו</t>
  </si>
  <si>
    <t>רשות הטבע והגנים תל ערד</t>
  </si>
  <si>
    <t>יוחננוף-קרית עקרון</t>
  </si>
  <si>
    <t>ירקות משתלה וגלידה</t>
  </si>
  <si>
    <t>גואטה אביגדור בעמ</t>
  </si>
  <si>
    <t>איבנטבאז כרטיסים לאירועים</t>
  </si>
  <si>
    <t>מכון אלמה</t>
  </si>
  <si>
    <t>חוף  הים</t>
  </si>
  <si>
    <t>סופר יודה אבן גבירול</t>
  </si>
  <si>
    <t>חניון גן העיר תל אביב</t>
  </si>
  <si>
    <t>ניזאר מוצרי חשמל</t>
  </si>
  <si>
    <t>פארטיקול רחובות</t>
  </si>
  <si>
    <t>חמשת היסודות</t>
  </si>
  <si>
    <t>PAYPAL *FRIENDSBARZ</t>
  </si>
  <si>
    <t>סניף קשת טעמים גבעת ברנר</t>
  </si>
  <si>
    <t>איתמר אפרים</t>
  </si>
  <si>
    <t>נבתים-בית הפעמון</t>
  </si>
  <si>
    <t>זעפרן סירים ושיפודים בע"מ</t>
  </si>
  <si>
    <t>סופר פארם מ.הים אילת 53</t>
  </si>
  <si>
    <t>מיק מק אילת</t>
  </si>
  <si>
    <t>תמנון - אילת-גמא</t>
  </si>
  <si>
    <t>ברשקה ביג אילת</t>
  </si>
  <si>
    <t>נייקי ישראל - סניף אילת</t>
  </si>
  <si>
    <t>אמין אופניים</t>
  </si>
  <si>
    <t>באולינג רוטשילד</t>
  </si>
  <si>
    <t>שופרסל דיל השלום</t>
  </si>
  <si>
    <t>שופרסל אקספרס מלצר רחובות</t>
  </si>
  <si>
    <t>גרובר פארם - רחובות</t>
  </si>
  <si>
    <t>הקצבים מירושלים רחובות</t>
  </si>
  <si>
    <t>אורבניקה קניון רחובות</t>
  </si>
  <si>
    <t>מדנייט רחובות</t>
  </si>
  <si>
    <t>שוקה נס ציונה</t>
  </si>
  <si>
    <t>כל בו יהודה</t>
  </si>
  <si>
    <t>א.ר. נולדג' פור אול בע"מ</t>
  </si>
  <si>
    <t>חניון סינימה סיטי גלילות</t>
  </si>
  <si>
    <t>איי אי גי ביטוח דירה</t>
  </si>
  <si>
    <t>איוונטר כרטיסים בע"מ</t>
  </si>
  <si>
    <t>מזנוני מידבריום</t>
  </si>
  <si>
    <t>חממה בעיר רחובות</t>
  </si>
  <si>
    <t>כיוונים ? תרבות ופנאי</t>
  </si>
  <si>
    <t>סי קפה  מגל מזרח</t>
  </si>
  <si>
    <t>זול סטוק רחובות הפרדס</t>
  </si>
  <si>
    <t>סופר אלונית חוצה ישראל מגל מערב</t>
  </si>
  <si>
    <t>טקטיקל סקיוריטי</t>
  </si>
  <si>
    <t>רשת כוורת בצה"ל</t>
  </si>
  <si>
    <t>ת.ש פרו סלולר בע''מ-צמרת</t>
  </si>
  <si>
    <t>EL AL</t>
  </si>
  <si>
    <t>GOOGLE*REASONLABS</t>
  </si>
  <si>
    <t>הראל ביטוח חיים</t>
  </si>
  <si>
    <t>el al israel  airlines</t>
  </si>
  <si>
    <t>מי און  דה מייק רחובות</t>
  </si>
  <si>
    <t>מחסני השוק  רחובות הנשיא</t>
  </si>
  <si>
    <t>רשות הטבע והגנים אפולוניה</t>
  </si>
  <si>
    <t>רשות הטבע והגנים - מגדל צ</t>
  </si>
  <si>
    <t>ביי מי</t>
  </si>
  <si>
    <t>ג'נטלמן מתנות לגבר-קניון</t>
  </si>
  <si>
    <t>עיריית רחובות-חניה</t>
  </si>
  <si>
    <t>סינמה סיטי</t>
  </si>
  <si>
    <t>המרכז הבינלאומי למנהיגות</t>
  </si>
  <si>
    <t>טמבורית הנשיא</t>
  </si>
  <si>
    <t>מיתוס ניהול ואחזקה בע"מ</t>
  </si>
  <si>
    <t>מ.יוחננוף ובניו בע"מ</t>
  </si>
  <si>
    <t>שופרסל דיל גלילות</t>
  </si>
  <si>
    <t>מינימרקט אדוארד</t>
  </si>
  <si>
    <t>שירות המוסמך</t>
  </si>
  <si>
    <t>LC* LEEDS CASTLE</t>
  </si>
  <si>
    <t>HISTORIC ROYAL</t>
  </si>
  <si>
    <t>CMN E-BILLETS   2343752</t>
  </si>
  <si>
    <t>DELFONT MACKINTOSH</t>
  </si>
  <si>
    <t>COME TO PARIS</t>
  </si>
  <si>
    <t>EURO DISNEY</t>
  </si>
  <si>
    <t>כלל ביטוח חיים</t>
  </si>
  <si>
    <t>דקטלון יישראל בעמ-ראשון</t>
  </si>
  <si>
    <t>WWW.RMG.CO.UK</t>
  </si>
  <si>
    <t>8200 אקדמי</t>
  </si>
  <si>
    <t>pchelpsft.com</t>
  </si>
  <si>
    <t>פוינט בריק- קייטנת גלישה</t>
  </si>
  <si>
    <t>SETE TOUR EIFFEL</t>
  </si>
  <si>
    <t>אגד -שימקוטק הופון</t>
  </si>
  <si>
    <t>סופר-פארם מרכז הנשיא רחוב</t>
  </si>
  <si>
    <t>רמי לוי - גבעת שאול מהדרין</t>
  </si>
  <si>
    <t>נאייקס ישראל מכונות אוטומטיות</t>
  </si>
  <si>
    <t>כלל ביטוח חיים הו"ק</t>
  </si>
  <si>
    <t>SAINSBURYS S/MKTS</t>
  </si>
  <si>
    <t>MARKS/SPENCER PLC SACA</t>
  </si>
  <si>
    <t>LHR T4 WDF MAIN</t>
  </si>
  <si>
    <t>Hampton Court Shires L</t>
  </si>
  <si>
    <t>LUL TICKET MACHINE</t>
  </si>
  <si>
    <t>SQ *DARK SUGARS LTD</t>
  </si>
  <si>
    <t>LEEDS CASTLE ENTERPRISES</t>
  </si>
  <si>
    <t>Graysons @ Leeds Castle</t>
  </si>
  <si>
    <t>HOTEL DES ARENE 4526398</t>
  </si>
  <si>
    <t>LA COMEDIA</t>
  </si>
  <si>
    <t>SEPHORA 159</t>
  </si>
  <si>
    <t>CARREFOUR CITY</t>
  </si>
  <si>
    <t>RATP</t>
  </si>
  <si>
    <t>EURO DISNEY ASSOCIES</t>
  </si>
  <si>
    <t>REST TOUR EIFFE 4884643</t>
  </si>
  <si>
    <t>HOTEL DES ARENE 4526795</t>
  </si>
  <si>
    <t>SNCF</t>
  </si>
  <si>
    <t>VILLAGE MONGE</t>
  </si>
  <si>
    <t>LOUIS IX</t>
  </si>
  <si>
    <t>TICKET LOUVRE   2333280</t>
  </si>
  <si>
    <t>ביוטיקייר רחובות</t>
  </si>
  <si>
    <t>ללין</t>
  </si>
  <si>
    <t>מ. יוחננוף ובניו- רחובות מרכז סנטרו</t>
  </si>
  <si>
    <t>השקעות (בנק)</t>
  </si>
  <si>
    <t>פוד אפיל רחובות</t>
  </si>
  <si>
    <t>נייקי ישראל - סניף בילו</t>
  </si>
  <si>
    <t>אורבניקה בילו סנטר</t>
  </si>
  <si>
    <t>ביטוח ישיר ביטוח רכב</t>
  </si>
  <si>
    <t>דן דיל נס ציונה</t>
  </si>
  <si>
    <t>דור מיגון</t>
  </si>
  <si>
    <t>מכשירי תנועה ומכוניות 004</t>
  </si>
  <si>
    <t>חיות בעיר</t>
  </si>
  <si>
    <t>תחנת דלק סונול הפרדס</t>
  </si>
  <si>
    <t>משרד תחבורה העברת בעלות ר</t>
  </si>
  <si>
    <t>HSAW DNA KRAP</t>
  </si>
  <si>
    <t>לחיות באהבה בע"מ</t>
  </si>
  <si>
    <t>טי טי  אנד קיי רחובות</t>
  </si>
  <si>
    <t>הבורסה לתכשיטים רחובות</t>
  </si>
  <si>
    <t>בית קמה ב'</t>
  </si>
  <si>
    <t>ניסן איטל מומחה קריירה</t>
  </si>
  <si>
    <t>PAYPAL *ZWIFT</t>
  </si>
  <si>
    <t>סופר פארם רחובות ההולנדית</t>
  </si>
  <si>
    <t>הפי לימון</t>
  </si>
  <si>
    <t>ג'י וי מערכות</t>
  </si>
  <si>
    <t>שוברת דיסטנס  בע"מ</t>
  </si>
  <si>
    <t>תחנה סופית</t>
  </si>
  <si>
    <t>ויקטורי שמוטקין ראשון לצי</t>
  </si>
  <si>
    <t>חניון מוזיאון ארץ ישראל</t>
  </si>
  <si>
    <t>SBB Bahnhof HB Zurich</t>
  </si>
  <si>
    <t>Teddy's Souvenir-Shop AG</t>
  </si>
  <si>
    <t>Haus zum Ruden AG</t>
  </si>
  <si>
    <t>ROOTS - MUENSTERGASSE</t>
  </si>
  <si>
    <t>Kirche Grossmunster</t>
  </si>
  <si>
    <t>זהב שחור</t>
  </si>
  <si>
    <t>אול בייקס</t>
  </si>
  <si>
    <t>בית הספר לבגרויות יואל גבע בע"מ</t>
  </si>
  <si>
    <t>קרנף בר אילן</t>
  </si>
  <si>
    <t>צומת ספרים תחנה מרכזית</t>
  </si>
  <si>
    <t>יעדים תפקודי למידה</t>
  </si>
  <si>
    <t>ג'מס פתח תקווה 360</t>
  </si>
  <si>
    <t>דוכן הפרדסן מקס איט ניכיונות בע"מ</t>
  </si>
  <si>
    <t>אמיר בעיר</t>
  </si>
  <si>
    <t>חניון בית משפט שוקן</t>
  </si>
  <si>
    <t>ד"ר קגסוב קונסטנטין</t>
  </si>
  <si>
    <t>עיריית תל אביב חנייה</t>
  </si>
  <si>
    <t>זמן אסיף בע"מ</t>
  </si>
  <si>
    <t>רישום לאונ' תל-אביב</t>
  </si>
  <si>
    <t>ממתקים בתחנה המרכזית</t>
  </si>
  <si>
    <t>מירב כף רגל וקרסול</t>
  </si>
  <si>
    <t>לה רוזה</t>
  </si>
  <si>
    <t>שכ"ל אינטרנט - ת"א</t>
  </si>
  <si>
    <t>אונ.ב"ג-שכר לימוד</t>
  </si>
  <si>
    <t>איילון ביטוח חיים וב</t>
  </si>
  <si>
    <t>פז YELLOW נחלת יהודה</t>
  </si>
  <si>
    <t>ב"ס לבגרות של יואל</t>
  </si>
  <si>
    <t>ביטוח ישיר דירה</t>
  </si>
  <si>
    <t>מסעדת מיתוס אחזקה</t>
  </si>
  <si>
    <t>קופת חולים כללית-מושלם</t>
  </si>
  <si>
    <t>אחים לסמל</t>
  </si>
  <si>
    <t>סעוד הראל -כללית</t>
  </si>
  <si>
    <t>ארקיע קווי תעופה ישראליים</t>
  </si>
  <si>
    <t>מאפה נאמן תחנה מרכזית</t>
  </si>
  <si>
    <t>סופר פארם שער ראשון</t>
  </si>
  <si>
    <t>אופיס דיפו - נס ציונה</t>
  </si>
  <si>
    <t>Base44.com</t>
  </si>
  <si>
    <t>הראל ביטוח חו"ל</t>
  </si>
  <si>
    <t>יוניברס נס ציונה -הפטיש</t>
  </si>
  <si>
    <t>NP PLITVICE ULAZNICE</t>
  </si>
  <si>
    <t>WWW.PRIMARK.COM</t>
  </si>
  <si>
    <t>בי"ס לבגרות של יואל גבע</t>
  </si>
  <si>
    <t>דלק קמעונאות שערי רא</t>
  </si>
  <si>
    <t>אוניברסיטת בר אילן אנטרנט</t>
  </si>
  <si>
    <t>גפניקה</t>
  </si>
  <si>
    <t>י.ט. שיפודי עמוס בע"מ</t>
  </si>
  <si>
    <t>טיספייס בע"מ</t>
  </si>
  <si>
    <t>קר שרותי רפואה בע"מ</t>
  </si>
  <si>
    <t>מבחני תיאוריה אנקורי</t>
  </si>
  <si>
    <t>מגה ספורט מודיעין עודפים</t>
  </si>
  <si>
    <t>אופטיקה הלפרין מודיעין</t>
  </si>
  <si>
    <t>פוקס מודיעין</t>
  </si>
  <si>
    <t>סקיי טאואר- סנטרל פארק בע</t>
  </si>
  <si>
    <t>דוכן כשר טרמינל</t>
  </si>
  <si>
    <t>מ.א מכונות אוטומטיות</t>
  </si>
  <si>
    <t>איסתא קבוצות (2)</t>
  </si>
  <si>
    <t>דמי כרטיס /הנפקה</t>
  </si>
  <si>
    <t>ישראייר תעופה בע"מ-צ</t>
  </si>
  <si>
    <t>בי"ס לבגרות של יואל</t>
  </si>
  <si>
    <t>משרד המשפטים אגרות טאבו ר</t>
  </si>
  <si>
    <t>בריין בינה בעמ</t>
  </si>
  <si>
    <t>טריפל איי סלולר-צמרת</t>
  </si>
  <si>
    <t>airlines ELAL INT Israel</t>
  </si>
  <si>
    <t>מ.ע רישוי רכב מודיעין בע"</t>
  </si>
  <si>
    <t>ח.ת אוטומוטורס בע"מ</t>
  </si>
  <si>
    <t>מקדונלד'ס פתח תקוה</t>
  </si>
  <si>
    <t>האחים גרין ספרים וחוויות</t>
  </si>
  <si>
    <t>טופ קפה בלינסון בע"מ</t>
  </si>
  <si>
    <t>א.י מעדני בשר  )שף בשר (</t>
  </si>
  <si>
    <t>מרכז הפרחים בנצי רחובות</t>
  </si>
  <si>
    <t>רשת קפה עלית בר אילן חינוך</t>
  </si>
  <si>
    <t>INTERTICKET KFT</t>
  </si>
  <si>
    <t>פלטינה מסטרקארד</t>
  </si>
  <si>
    <t>שכירות דירה</t>
  </si>
  <si>
    <t>Chessington Adventures</t>
  </si>
  <si>
    <t>carrefour market שרונה</t>
  </si>
  <si>
    <t>איסתא</t>
  </si>
  <si>
    <t>בית מרקחת אחד העם</t>
  </si>
  <si>
    <t>"מרכז רפואי קפלן"</t>
  </si>
  <si>
    <t>OTPMOBL*JEGYMESTER.HU</t>
  </si>
  <si>
    <t>OTPMOBL*illuziokmuzeum</t>
  </si>
  <si>
    <t>קטינה/ורדה</t>
  </si>
  <si>
    <t>MAMMA MIA! TICKETS</t>
  </si>
  <si>
    <t>OTPMOBL*BAZILIKA.JEGY.</t>
  </si>
  <si>
    <t>OTPMOBL*SHOP.MATYAS    BUDAPEST      HU</t>
  </si>
  <si>
    <t>OTPMOBL*BUDAPESTGYOGYF BUDAPEST      HU</t>
  </si>
  <si>
    <t>דלק קמעונאות שערי ראשון</t>
  </si>
  <si>
    <t>איילון ביטוח חייםי וב</t>
  </si>
  <si>
    <t>יוניברס נס ציונה /הפטיש</t>
  </si>
  <si>
    <t>COMTEC MEDICAL CONGRESSES</t>
  </si>
  <si>
    <t>סטקיית חצות-א.א.אגמי</t>
  </si>
  <si>
    <t>אפרודיטה קניון רחובות</t>
  </si>
  <si>
    <t>PRIMARK 846 BUDAPEST</t>
  </si>
  <si>
    <t>Foot Locker Inc 13807</t>
  </si>
  <si>
    <t>Okay Italia Arena</t>
  </si>
  <si>
    <t>HELOPAY*SOUL AND GRAIN</t>
  </si>
  <si>
    <t>WH Smith Hungary</t>
  </si>
  <si>
    <t>BKK Budapest Pay/Go</t>
  </si>
  <si>
    <t>OFFICE SHOES ARENA</t>
  </si>
  <si>
    <t>NEW YORKER ARE'NA</t>
  </si>
  <si>
    <t>Renaissance Etterem</t>
  </si>
  <si>
    <t>Ajandek</t>
  </si>
  <si>
    <t>DELIKATESZ</t>
  </si>
  <si>
    <t>E'DENI E'DESSE'GEK BOL</t>
  </si>
  <si>
    <t>Pipacs Souvenir</t>
  </si>
  <si>
    <t>VISEGRADI BOBPALYA BT</t>
  </si>
  <si>
    <t>Szamos</t>
  </si>
  <si>
    <t>Muller Drogeria Magyarors</t>
  </si>
  <si>
    <t>RAMO-BERT SOUVENIR</t>
  </si>
  <si>
    <t>2 SPAGHI</t>
  </si>
  <si>
    <t>Ruszwurm Cukraszda</t>
  </si>
  <si>
    <t>KFC DEA'K</t>
  </si>
  <si>
    <t>HU0346 H/M</t>
  </si>
  <si>
    <t>BKK AUTOMATA F53</t>
  </si>
  <si>
    <t>CBA E'LELMISZER</t>
  </si>
  <si>
    <t>BERSHKA BUDAPEST</t>
  </si>
  <si>
    <t>BKK AUTOMATA - D04</t>
  </si>
  <si>
    <t>MU"JE'GPA'LYA</t>
  </si>
  <si>
    <t>נאייקס ישראל חניונים</t>
  </si>
  <si>
    <t>INDOOR PIRATE</t>
  </si>
  <si>
    <t>LIBEGO" VO:LGYA'LLOMA'</t>
  </si>
  <si>
    <t>BKK AUTOMATA F36</t>
  </si>
  <si>
    <t>BRINGOHINTO Kft.</t>
  </si>
  <si>
    <t>Libego Presszo</t>
  </si>
  <si>
    <t>MAZSIHISZ MAGYAR ZSID</t>
  </si>
  <si>
    <t>RUMBACH S.U-I ZSINAGO'</t>
  </si>
  <si>
    <t>BKK AUTOMATA - B34</t>
  </si>
  <si>
    <t>Carat Boutique Hotel EUR</t>
  </si>
  <si>
    <t>BUDAPEST O'RIA'SKEREKE</t>
  </si>
  <si>
    <t>BKK AUTOMATA E42</t>
  </si>
  <si>
    <t>Barlang Etterem</t>
  </si>
  <si>
    <t>FO"V.A'LLAT E'S NO:VE'</t>
  </si>
  <si>
    <t>מאפה נאמן שקם</t>
  </si>
  <si>
    <t>אורבניקה</t>
  </si>
  <si>
    <t>אניספלד יבוא ושיווק בע"מ</t>
  </si>
  <si>
    <t>ח.חויו ובניו בע"מ</t>
  </si>
  <si>
    <t>AMZNMktplace*RM7JJ06K4</t>
  </si>
  <si>
    <t>יוניברס רחובות אמט"ל</t>
  </si>
  <si>
    <t>FREE-FIT</t>
  </si>
  <si>
    <t>משרד התחבורה אגרה למבחן נ</t>
  </si>
  <si>
    <t>ביס לנהיגה יובלי</t>
  </si>
  <si>
    <t>זיגו - פלטפורמה למכירת כר</t>
  </si>
  <si>
    <t>HELEN</t>
  </si>
  <si>
    <t>PAYPAL *BNA AI</t>
  </si>
  <si>
    <t>AZM ZAPRESIC</t>
  </si>
  <si>
    <t>מגה ספורט רחובות</t>
  </si>
  <si>
    <t>מרכז הכלים</t>
  </si>
  <si>
    <t>ד"ר עדי אורנשטין</t>
  </si>
  <si>
    <t>חניון  היכל מנורה-מבטחים</t>
  </si>
  <si>
    <t>אבולעפיה מאפיה</t>
  </si>
  <si>
    <t>AUTOCESTA A1 NP DEMERJ</t>
  </si>
  <si>
    <t>AZM NP TRAKOSCAN</t>
  </si>
  <si>
    <t>OMV 8703</t>
  </si>
  <si>
    <t>Sundays Handels Gmb</t>
  </si>
  <si>
    <t>GASTHAUS SANDWIRT</t>
  </si>
  <si>
    <t>Johann Strauss T1 D Gate</t>
  </si>
  <si>
    <t>KOZJACKA DRAGA PECENJ</t>
  </si>
  <si>
    <t>INA PLITVICE-CATRNJA</t>
  </si>
  <si>
    <t>VPA parking HRV</t>
  </si>
  <si>
    <t>MARIJA</t>
  </si>
  <si>
    <t>NPPJ MARKET MUKINJE</t>
  </si>
  <si>
    <t>NPPJ BAR RAPAJINKA</t>
  </si>
  <si>
    <t>Klet Cinkus</t>
  </si>
  <si>
    <t>DIONICA ZAGREB-BOSILJE</t>
  </si>
  <si>
    <t>Vignette &amp; Visa B.V.</t>
  </si>
  <si>
    <t>ויזה 1618</t>
  </si>
  <si>
    <t>הסתדרות</t>
  </si>
  <si>
    <t>רמי לוי - רחובות</t>
  </si>
  <si>
    <t>חניון זבולון דרום</t>
  </si>
  <si>
    <t>סונול דנה</t>
  </si>
  <si>
    <t>פוקס קניותר נס ציונה</t>
  </si>
  <si>
    <t>סונול- עין בוקק</t>
  </si>
  <si>
    <t>מיי טריפ בע"מ</t>
  </si>
  <si>
    <t>טרק מרקט נס ציונה</t>
  </si>
  <si>
    <t>ויזה 7520</t>
  </si>
  <si>
    <t>המרכז הרב תחומי</t>
  </si>
  <si>
    <t>KFC</t>
  </si>
  <si>
    <t>סופר פארם אילת קניון מול</t>
  </si>
  <si>
    <t>מקדונלדס קניון עזריאלי רא</t>
  </si>
  <si>
    <t>3D SMART הדמיה דנטלית -</t>
  </si>
  <si>
    <t>כללית -מרכז -מר"מ מרפאת ע</t>
  </si>
  <si>
    <t>קונדיטוריית גרלה</t>
  </si>
  <si>
    <t>יוניברס ביל"ו</t>
  </si>
  <si>
    <t>תאריך 01.1.26</t>
  </si>
  <si>
    <t>תאריך 31.12.26</t>
  </si>
  <si>
    <t>31/12/2025</t>
  </si>
  <si>
    <t>כאל</t>
  </si>
  <si>
    <t>ישראל</t>
  </si>
  <si>
    <t/>
  </si>
  <si>
    <t>02/01/2026</t>
  </si>
  <si>
    <t>30/12/2025</t>
  </si>
  <si>
    <t>חו"ל</t>
  </si>
  <si>
    <t xml:space="preserve"> הוראת קבע הולנד . מזהה כרטיס אינטרנט 4470</t>
  </si>
  <si>
    <t>29/12/2025</t>
  </si>
  <si>
    <t xml:space="preserve"> הוראת קבע</t>
  </si>
  <si>
    <t>28/12/2025</t>
  </si>
  <si>
    <t xml:space="preserve"> הוראת קבע חדשה בכרטיס</t>
  </si>
  <si>
    <t>27/12/2025</t>
  </si>
  <si>
    <t>26/12/2025</t>
  </si>
  <si>
    <t xml:space="preserve"> העברה למאיה שליטו</t>
  </si>
  <si>
    <t>אורט רב מוטב</t>
  </si>
  <si>
    <t>25/12/2025</t>
  </si>
  <si>
    <t>תשלום-ישראל</t>
  </si>
  <si>
    <t xml:space="preserve"> 1 מ - 12</t>
  </si>
  <si>
    <t>24/12/2025</t>
  </si>
  <si>
    <t xml:space="preserve"> העברה לשרית קרת עבור שיעורים אמיר והילה</t>
  </si>
  <si>
    <t>23/12/2025</t>
  </si>
  <si>
    <t>22/12/2025</t>
  </si>
  <si>
    <t>21/12/2025</t>
  </si>
  <si>
    <t xml:space="preserve"> ישראל . העברה לאסתי אילוז</t>
  </si>
  <si>
    <t>20/12/2025</t>
  </si>
  <si>
    <t>19/12/2025</t>
  </si>
  <si>
    <t xml:space="preserve"> ישראל . העברה לטליה סלמון</t>
  </si>
  <si>
    <t xml:space="preserve"> העברה לשרית קרת עבור שיעור לירון</t>
  </si>
  <si>
    <t>18/12/2025</t>
  </si>
  <si>
    <t xml:space="preserve"> הוראת קבע ארצות הברית . מזהה כרטיס אינטרנט 4470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</si>
  <si>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</si>
  <si>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</si>
  <si>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</si>
  <si>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</si>
  <si>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</si>
  <si>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</si>
  <si>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</si>
  <si>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GV מערכות יוקרה לרכב-צמרת</t>
  </si>
  <si>
    <t xml:space="preserve"> העברה לשרית קרת עבור שיעורים הילה ואמיר</t>
  </si>
  <si>
    <t>09/12/2025</t>
  </si>
  <si>
    <t>07/12/2025</t>
  </si>
  <si>
    <t>06/12/2025</t>
  </si>
  <si>
    <t>05/12/2025</t>
  </si>
  <si>
    <t>03/12/2025</t>
  </si>
  <si>
    <t>02/12/2025</t>
  </si>
  <si>
    <t xml:space="preserve"> העברה לדנה ויינרוך</t>
  </si>
  <si>
    <t>01/12/2025</t>
  </si>
  <si>
    <t>30/11/2025</t>
  </si>
  <si>
    <t>זיכוי-ישראל</t>
  </si>
  <si>
    <t>29/11/2025</t>
  </si>
  <si>
    <t xml:space="preserve"> סינגפור . מזהה כרטיס אינטרנט 4470</t>
  </si>
  <si>
    <t>07/09/2025</t>
  </si>
  <si>
    <t xml:space="preserve"> 4 מ - 9</t>
  </si>
  <si>
    <t>28/07/2025</t>
  </si>
  <si>
    <t xml:space="preserve"> 6 מ - 10</t>
  </si>
  <si>
    <t>אספרסו בר אתי דגן בע"מ</t>
  </si>
  <si>
    <t>להבות ייצור ומיגון</t>
  </si>
  <si>
    <t>תשלום 2 מתוך 3</t>
  </si>
  <si>
    <t>31/01/2026</t>
  </si>
  <si>
    <t>02/02/2026</t>
  </si>
  <si>
    <t xml:space="preserve"> העברה למרשה דוידוביץ</t>
  </si>
  <si>
    <t>30/01/2026</t>
  </si>
  <si>
    <t>29/01/2026</t>
  </si>
  <si>
    <t>גפניקה רחובות</t>
  </si>
  <si>
    <t>זיכוי-חו"ל</t>
  </si>
  <si>
    <t xml:space="preserve"> סינגפור בגין עסקה שבוצעה במזהה כרטיס אינטרנט 4470</t>
  </si>
  <si>
    <t>28/01/2026</t>
  </si>
  <si>
    <t>27/01/2026</t>
  </si>
  <si>
    <t>26/01/2026</t>
  </si>
  <si>
    <t>חיוך נדיר</t>
  </si>
  <si>
    <t>PAYPAL *AISGECOMMER</t>
  </si>
  <si>
    <t>24/01/2026</t>
  </si>
  <si>
    <t>23/01/2026</t>
  </si>
  <si>
    <t xml:space="preserve"> ישראל . העברה למקסים חנדרוס</t>
  </si>
  <si>
    <t>22/01/2026</t>
  </si>
  <si>
    <t>לחייל ולטייל-צמרת</t>
  </si>
  <si>
    <t>רשות האוכלוסין וההגירה  ת</t>
  </si>
  <si>
    <t>21/01/2026</t>
  </si>
  <si>
    <t>20/01/2026</t>
  </si>
  <si>
    <t>חצות מודיעין בע"מ</t>
  </si>
  <si>
    <t>19/01/2026</t>
  </si>
  <si>
    <t>קולינאריק - מודיעין</t>
  </si>
  <si>
    <t>18/01/2026</t>
  </si>
  <si>
    <t>שיבולת השרון</t>
  </si>
  <si>
    <t>17/01/2026</t>
  </si>
  <si>
    <t>16/01/2026</t>
  </si>
  <si>
    <t>15/01/2026</t>
  </si>
  <si>
    <t>14/01/2026</t>
  </si>
  <si>
    <t>13/01/2026</t>
  </si>
  <si>
    <t>12/01/2026</t>
  </si>
  <si>
    <t>11/01/2026</t>
  </si>
  <si>
    <t>10/01/2026</t>
  </si>
  <si>
    <t>09/01/2026</t>
  </si>
  <si>
    <t>08/01/2026</t>
  </si>
  <si>
    <t xml:space="preserve"> ישראל . העברה ליום הולדת לשני</t>
  </si>
  <si>
    <t>06/01/2026</t>
  </si>
  <si>
    <t xml:space="preserve"> העברה לשרית קרת עבור שיעור הילה</t>
  </si>
  <si>
    <t>05/01/2026</t>
  </si>
  <si>
    <t>Google CLOUD Fv5GJR</t>
  </si>
  <si>
    <t>01/01/2026</t>
  </si>
  <si>
    <t xml:space="preserve"> הוראת קבע אירלנד</t>
  </si>
  <si>
    <t xml:space="preserve"> 2 מ - 12</t>
  </si>
  <si>
    <t xml:space="preserve"> 5 מ - 9</t>
  </si>
  <si>
    <t xml:space="preserve"> 7 מ - 10</t>
  </si>
  <si>
    <t>1 מ - 2</t>
  </si>
  <si>
    <t>תשלום 3 מתוך 3</t>
  </si>
  <si>
    <t>מועדון טוב פ.</t>
  </si>
  <si>
    <t>חניון סמדר</t>
  </si>
  <si>
    <t>28/02/2026</t>
  </si>
  <si>
    <t>02/03/2026</t>
  </si>
  <si>
    <t>27/02/2026</t>
  </si>
  <si>
    <t>26/02/2026</t>
  </si>
  <si>
    <t xml:space="preserve"> העברה לשרית קרת</t>
  </si>
  <si>
    <t>25/02/2026</t>
  </si>
  <si>
    <t>24/02/2026</t>
  </si>
  <si>
    <t>23/02/2026</t>
  </si>
  <si>
    <t>21/02/2026</t>
  </si>
  <si>
    <t xml:space="preserve"> ישראל . העברה ללירון ליארזי</t>
  </si>
  <si>
    <t>20/02/2026</t>
  </si>
  <si>
    <t>NORMAL ROVANIEMI REVONTUL</t>
  </si>
  <si>
    <t>19/02/2026</t>
  </si>
  <si>
    <t xml:space="preserve"> פינלנד . ב- 20/02/26 הומר לש"ח בשער יציג 3.6742 .</t>
  </si>
  <si>
    <t>22/02/2026</t>
  </si>
  <si>
    <t>AMAZON MKTPL*B90F674F2</t>
  </si>
  <si>
    <t>18/02/2026</t>
  </si>
  <si>
    <t xml:space="preserve"> ארצות הברית . מזהה כרטיס אינטרנט 9763</t>
  </si>
  <si>
    <t>17/02/2026</t>
  </si>
  <si>
    <t>קפה קפה טרמינל 3 נתב"ג בע</t>
  </si>
  <si>
    <t>16/02/2026</t>
  </si>
  <si>
    <t>15/02/2026</t>
  </si>
  <si>
    <t>14/02/2026</t>
  </si>
  <si>
    <t>כללית מלך נוי</t>
  </si>
  <si>
    <t>13/02/2026</t>
  </si>
  <si>
    <t>12/02/2026</t>
  </si>
  <si>
    <t>ישראייר תעופה בע"מ-צמרת</t>
  </si>
  <si>
    <t>11/02/2026</t>
  </si>
  <si>
    <t>10/02/2026</t>
  </si>
  <si>
    <t>חלום יעקב</t>
  </si>
  <si>
    <t>09/02/2026</t>
  </si>
  <si>
    <t>הסטוק עזריאלי מודיעין</t>
  </si>
  <si>
    <t>א.ש צעצועים</t>
  </si>
  <si>
    <t>08/02/2026</t>
  </si>
  <si>
    <t xml:space="preserve"> העברה לשרית קרת עבור שיעורים אמיר פעמיים והי</t>
  </si>
  <si>
    <t>07/02/2026</t>
  </si>
  <si>
    <t>06/02/2026</t>
  </si>
  <si>
    <t>רולדין</t>
  </si>
  <si>
    <t>05/02/2026</t>
  </si>
  <si>
    <t>04/02/2026</t>
  </si>
  <si>
    <t>03/02/2026</t>
  </si>
  <si>
    <t>סקארה -רחובות</t>
  </si>
  <si>
    <t>חניון קניון מודיעין</t>
  </si>
  <si>
    <t>GOOGLE*CLOUD DCC9R2</t>
  </si>
  <si>
    <t>01/02/2026</t>
  </si>
  <si>
    <t xml:space="preserve"> 3 מ - 12</t>
  </si>
  <si>
    <t xml:space="preserve"> 6 מ - 9</t>
  </si>
  <si>
    <t xml:space="preserve"> 8 מ - 10</t>
  </si>
  <si>
    <t>ניו דלי שואבה צ. שורש</t>
  </si>
  <si>
    <t>USCUSTOMS ESTA APPL PMT</t>
  </si>
  <si>
    <t>טיב טעם רשתות חולון עזריאלי</t>
  </si>
  <si>
    <t>CLAUDE.AI SUBSCRIPTION</t>
  </si>
  <si>
    <t>אגודת אכסניות נוער בישראל- אינטרנט</t>
  </si>
  <si>
    <t>תשלום 4 מתוך 12</t>
  </si>
  <si>
    <t>תשלום 7 מתוך 9</t>
  </si>
  <si>
    <t>תשלום 9 מתוך 10</t>
  </si>
  <si>
    <t>A004 FI RVN Airport Ahkio</t>
  </si>
  <si>
    <t>Fazer Makeiset Oy</t>
  </si>
  <si>
    <t>K-SUPERMARKET RINTEENKULM</t>
  </si>
  <si>
    <t>POLAR EXPLORER</t>
  </si>
  <si>
    <t>NYX*POLAREXPLORERMGAB</t>
  </si>
  <si>
    <t>ZETTLE_*AUTTIKONKAAN P</t>
  </si>
  <si>
    <t>VFI*SANTA CLAUS HOLIDAY V</t>
  </si>
  <si>
    <t>96930 Posti (9096930)</t>
  </si>
  <si>
    <t>ישראכרט אורנה</t>
  </si>
  <si>
    <t>30/04/2026</t>
  </si>
  <si>
    <t>03/05/2026</t>
  </si>
  <si>
    <t>פיצוחי אלמליח</t>
  </si>
  <si>
    <t>29/04/2026</t>
  </si>
  <si>
    <t>28/04/2026</t>
  </si>
  <si>
    <t>כביש 6 חוצה צפון בע"מ</t>
  </si>
  <si>
    <t>27/04/2026</t>
  </si>
  <si>
    <t>26/04/2026</t>
  </si>
  <si>
    <t>24/04/2026</t>
  </si>
  <si>
    <t>23/04/2026</t>
  </si>
  <si>
    <t>צומת ספרים קניון רחובות</t>
  </si>
  <si>
    <t>21/04/2026</t>
  </si>
  <si>
    <t>20/04/2026</t>
  </si>
  <si>
    <t>19/04/2026</t>
  </si>
  <si>
    <t>18/04/2026</t>
  </si>
  <si>
    <t>16/04/2026</t>
  </si>
  <si>
    <t>15/04/2026</t>
  </si>
  <si>
    <t>14/04/2026</t>
  </si>
  <si>
    <t>13/04/2026</t>
  </si>
  <si>
    <t>12/04/2026</t>
  </si>
  <si>
    <t>11/04/2026</t>
  </si>
  <si>
    <t>10/04/2026</t>
  </si>
  <si>
    <t>09/04/2026</t>
  </si>
  <si>
    <t xml:space="preserve"> ישראל . העברה לגיל הרשקוביץ</t>
  </si>
  <si>
    <t>08/04/2026</t>
  </si>
  <si>
    <t xml:space="preserve"> הוראת קבע ארצות הברית . ב- 9/04/26 הומר לש"ח בשער</t>
  </si>
  <si>
    <t>06/04/2026</t>
  </si>
  <si>
    <t>סטימצקי מרכז הנשיא רחובות</t>
  </si>
  <si>
    <t>05/04/2026</t>
  </si>
  <si>
    <t>03/04/2026</t>
  </si>
  <si>
    <t>01/04/2026</t>
  </si>
  <si>
    <t xml:space="preserve"> 8 מ - 9</t>
  </si>
  <si>
    <t xml:space="preserve"> 10 מ - 10</t>
  </si>
  <si>
    <t>שוברים למטייל</t>
  </si>
  <si>
    <t>31/05/2026</t>
  </si>
  <si>
    <t>02/06/2026</t>
  </si>
  <si>
    <t>30/05/2026</t>
  </si>
  <si>
    <t>29/05/2026</t>
  </si>
  <si>
    <t>28/05/2026</t>
  </si>
  <si>
    <t>27/05/2026</t>
  </si>
  <si>
    <t>26/05/2026</t>
  </si>
  <si>
    <t xml:space="preserve"> ישראל . העברה למתנה לעפר</t>
  </si>
  <si>
    <t>25/05/2026</t>
  </si>
  <si>
    <t>24/05/2026</t>
  </si>
  <si>
    <t>GOOGLE*QUSTODIO PAREN</t>
  </si>
  <si>
    <t>23/05/2026</t>
  </si>
  <si>
    <t xml:space="preserve"> ארצות הברית</t>
  </si>
  <si>
    <t>22/05/2026</t>
  </si>
  <si>
    <t>21/05/2026</t>
  </si>
  <si>
    <t>20/05/2026</t>
  </si>
  <si>
    <t>19/05/2026</t>
  </si>
  <si>
    <t>17/05/2026</t>
  </si>
  <si>
    <t xml:space="preserve"> ארצות הברית . מזהה כרטיס אינטרנט 4470</t>
  </si>
  <si>
    <t>15/05/2026</t>
  </si>
  <si>
    <t>13/05/2026</t>
  </si>
  <si>
    <t>12/05/2026</t>
  </si>
  <si>
    <t xml:space="preserve"> 1 מ - 2</t>
  </si>
  <si>
    <t>קומפיוטסט הנדסה ציוד לרכב</t>
  </si>
  <si>
    <t>11/05/2026</t>
  </si>
  <si>
    <t>כללית סמייל רמז רחובות</t>
  </si>
  <si>
    <t>זיגו - כרטיסים לאירועים</t>
  </si>
  <si>
    <t>10/05/2026</t>
  </si>
  <si>
    <t>משלוחה הזמנת אוכל אונליין</t>
  </si>
  <si>
    <t>09/05/2026</t>
  </si>
  <si>
    <t>08/05/2026</t>
  </si>
  <si>
    <t>07/05/2026</t>
  </si>
  <si>
    <t>06/05/2026</t>
  </si>
  <si>
    <t>05/05/2026</t>
  </si>
  <si>
    <t>טרם רחובות</t>
  </si>
  <si>
    <t>שווארמה רפאל</t>
  </si>
  <si>
    <t>04/05/2026</t>
  </si>
  <si>
    <t>02/05/2026</t>
  </si>
  <si>
    <t>01/05/2026</t>
  </si>
  <si>
    <t xml:space="preserve"> 9 מ - 9</t>
  </si>
  <si>
    <t>pchelpsoftrer.c</t>
  </si>
  <si>
    <t>עמיחי איי איי בע"מ</t>
  </si>
  <si>
    <t>רובן מודיעין</t>
  </si>
  <si>
    <t>ANTHROPIC</t>
  </si>
  <si>
    <t>איסתא אונליין</t>
  </si>
  <si>
    <t>זר פור יו אינטרנט</t>
  </si>
  <si>
    <t>מחסני השוק רחובות הנשיא</t>
  </si>
  <si>
    <t>סופר-פארם מרכז הנשיא רחובות</t>
  </si>
  <si>
    <t>סופר פארם ישפרו - נס ציונה</t>
  </si>
  <si>
    <t>PCHelpSoftwr.com</t>
  </si>
  <si>
    <t>דלק מנטה קמעונאות דרכים בע"מ ראשון</t>
  </si>
  <si>
    <t>זר פור יו (2000) בע"מ</t>
  </si>
  <si>
    <t>LOUVRETICKET INT2726905</t>
  </si>
  <si>
    <t>mElements *ENERGYLANDIA</t>
  </si>
  <si>
    <t>ה.קבע איילון ביטוח חיים וב ביטוח</t>
  </si>
  <si>
    <t>לא הוצג מועדון טוב שיווק ישיר</t>
  </si>
  <si>
    <t>הפניקס חיים ובריאות</t>
  </si>
  <si>
    <t>סיטי מרקט הרצל רחובות</t>
  </si>
  <si>
    <t>PAYPAL *2CO.COM</t>
  </si>
  <si>
    <t>יחפים נס ציונה</t>
  </si>
  <si>
    <t>משרד המשפטים אגרות טאבו רישום מקרקעין</t>
  </si>
  <si>
    <t>יוניברס מודיעין ישפרו סנטר</t>
  </si>
  <si>
    <t>ANTHROPIC* CLAUDE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</si>
</sst>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₪&quot;\ #,##0.00;[Red]&quot;₪&quot;\ \-#,##0.00"/>
    <numFmt numFmtId="165" formatCode="_ &quot;₪&quot;\ * #,##0.00_ ;_ &quot;₪&quot;\ * \-#,##0.00_ ;_ &quot;₪&quot;\ * &quot;-&quot;??_ ;_ @_ "/>
    <numFmt numFmtId="166" formatCode="_ [$₪-40D]\ * #,##0.00_ ;_ [$₪-40D]\ * \-#,##0.00_ ;_ [$₪-40D]\ * &quot;-&quot;??_ ;_ @_ "/>
    <numFmt numFmtId="167" formatCode="0.0%"/>
    <numFmt numFmtId="168" formatCode="_ &quot;₪&quot;\ * #,##0.0_ ;_ &quot;₪&quot;\ * \-#,##0.0_ ;_ &quot;₪&quot;\ * &quot;-&quot;??_ ;_ @_ "/>
    <numFmt numFmtId="169" formatCode="_ &quot;₪&quot;\ * #,##0_ ;_ &quot;₪&quot;\ * \-#,##0_ ;_ &quot;₪&quot;\ * &quot;-&quot;??_ ;_ @_ "/>
    <numFmt numFmtId="170" formatCode="&quot;₪&quot;#,##0.00"/>
    <numFmt numFmtId="171" formatCode="&quot;$&quot;#,##0.00"/>
    <numFmt numFmtId="172" formatCode="_ [$₪-40D]\ * #,##0_ ;_ [$₪-40D]\ * \-#,##0_ ;_ [$₪-40D]\ * &quot;-&quot;??_ ;_ @_ "/>
    <numFmt numFmtId="173" formatCode="&quot;€&quot;#,##0.00"/>
    <numFmt numFmtId="174" formatCode="&quot;HU&quot;#,##0.00"/>
    <numFmt numFmtId="175" formatCode="_ [$€-2]\ * #,##0.00_ ;_ [$€-2]\ * \-#,##0.00_ ;_ [$€-2]\ * &quot;-&quot;??_ ;_ @_ "/>
    <numFmt numFmtId="176" formatCode="[$-1010000]d/m/yy;@"/>
    <numFmt numFmtId="177" formatCode="_([$€-2]\ * #,##0.00_);_([$€-2]\ * \(#,##0.00\);_([$€-2]\ * &quot;-&quot;??_);_(@_)"/>
    <numFmt numFmtId="178" formatCode="[$₪]\ #,##0.00"/>
    <numFmt numFmtId="179" formatCode="_-[$$-409]* #,##0.00_ ;_-[$$-409]* \-#,##0.00\ ;_-[$$-409]* &quot;-&quot;??_ ;_-@_ "/>
  </numFmts>
  <fonts count="7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sz val="8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18"/>
      <color theme="3"/>
      <name val="Cambria"/>
      <family val="2"/>
      <charset val="177"/>
      <scheme val="major"/>
    </font>
    <font>
      <sz val="11"/>
      <color rgb="FF9C5700"/>
      <name val="Calibri"/>
      <family val="2"/>
      <charset val="177"/>
      <scheme val="minor"/>
    </font>
    <font>
      <sz val="11"/>
      <color rgb="FF000000"/>
      <name val="Arial"/>
      <family val="2"/>
    </font>
    <font>
      <sz val="10"/>
      <name val="Calibri"/>
      <family val="2"/>
    </font>
    <font>
      <sz val="10"/>
      <name val="Calibri"/>
    </font>
    <font>
      <b/>
      <sz val="9"/>
      <color indexed="81"/>
      <name val="Tahoma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B84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1">
    <xf numFmtId="0" fontId="0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4" applyNumberFormat="0" applyAlignment="0" applyProtection="0"/>
    <xf numFmtId="0" fontId="8" fillId="21" borderId="5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4" applyNumberFormat="0" applyAlignment="0" applyProtection="0"/>
    <xf numFmtId="0" fontId="15" fillId="0" borderId="9" applyNumberFormat="0" applyFill="0" applyAlignment="0" applyProtection="0"/>
    <xf numFmtId="0" fontId="16" fillId="22" borderId="0" applyNumberFormat="0" applyBorder="0" applyAlignment="0" applyProtection="0"/>
    <xf numFmtId="0" fontId="3" fillId="23" borderId="10" applyNumberFormat="0" applyFont="0" applyAlignment="0" applyProtection="0"/>
    <xf numFmtId="0" fontId="17" fillId="20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12" applyNumberFormat="0" applyFill="0" applyAlignment="0" applyProtection="0"/>
    <xf numFmtId="0" fontId="20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21" fillId="0" borderId="0"/>
    <xf numFmtId="0" fontId="21" fillId="23" borderId="10" applyNumberFormat="0" applyFont="0" applyAlignment="0" applyProtection="0"/>
    <xf numFmtId="0" fontId="24" fillId="0" borderId="0"/>
    <xf numFmtId="0" fontId="24" fillId="23" borderId="10" applyNumberFormat="0" applyFont="0" applyAlignment="0" applyProtection="0"/>
    <xf numFmtId="165" fontId="2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49" applyNumberFormat="0" applyFill="0" applyAlignment="0" applyProtection="0"/>
    <xf numFmtId="0" fontId="33" fillId="0" borderId="50" applyNumberFormat="0" applyFill="0" applyAlignment="0" applyProtection="0"/>
    <xf numFmtId="0" fontId="34" fillId="0" borderId="51" applyNumberFormat="0" applyFill="0" applyAlignment="0" applyProtection="0"/>
    <xf numFmtId="0" fontId="34" fillId="0" borderId="0" applyNumberFormat="0" applyFill="0" applyBorder="0" applyAlignment="0" applyProtection="0"/>
    <xf numFmtId="0" fontId="35" fillId="30" borderId="0" applyNumberFormat="0" applyBorder="0" applyAlignment="0" applyProtection="0"/>
    <xf numFmtId="0" fontId="36" fillId="31" borderId="0" applyNumberFormat="0" applyBorder="0" applyAlignment="0" applyProtection="0"/>
    <xf numFmtId="0" fontId="37" fillId="32" borderId="0" applyNumberFormat="0" applyBorder="0" applyAlignment="0" applyProtection="0"/>
    <xf numFmtId="0" fontId="38" fillId="33" borderId="52" applyNumberFormat="0" applyAlignment="0" applyProtection="0"/>
    <xf numFmtId="0" fontId="39" fillId="34" borderId="53" applyNumberFormat="0" applyAlignment="0" applyProtection="0"/>
    <xf numFmtId="0" fontId="40" fillId="34" borderId="52" applyNumberFormat="0" applyAlignment="0" applyProtection="0"/>
    <xf numFmtId="0" fontId="41" fillId="0" borderId="54" applyNumberFormat="0" applyFill="0" applyAlignment="0" applyProtection="0"/>
    <xf numFmtId="0" fontId="42" fillId="35" borderId="55" applyNumberFormat="0" applyAlignment="0" applyProtection="0"/>
    <xf numFmtId="0" fontId="43" fillId="0" borderId="0" applyNumberFormat="0" applyFill="0" applyBorder="0" applyAlignment="0" applyProtection="0"/>
    <xf numFmtId="0" fontId="22" fillId="36" borderId="56" applyNumberFormat="0" applyFont="0" applyAlignment="0" applyProtection="0"/>
    <xf numFmtId="0" fontId="44" fillId="0" borderId="0" applyNumberFormat="0" applyFill="0" applyBorder="0" applyAlignment="0" applyProtection="0"/>
    <xf numFmtId="0" fontId="45" fillId="0" borderId="57" applyNumberFormat="0" applyFill="0" applyAlignment="0" applyProtection="0"/>
    <xf numFmtId="0" fontId="46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46" fillId="52" borderId="0" applyNumberFormat="0" applyBorder="0" applyAlignment="0" applyProtection="0"/>
    <xf numFmtId="0" fontId="46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57" borderId="0" applyNumberFormat="0" applyBorder="0" applyAlignment="0" applyProtection="0"/>
    <xf numFmtId="0" fontId="22" fillId="58" borderId="0" applyNumberFormat="0" applyBorder="0" applyAlignment="0" applyProtection="0"/>
    <xf numFmtId="0" fontId="22" fillId="59" borderId="0" applyNumberFormat="0" applyBorder="0" applyAlignment="0" applyProtection="0"/>
    <xf numFmtId="0" fontId="46" fillId="60" borderId="0" applyNumberFormat="0" applyBorder="0" applyAlignment="0" applyProtection="0"/>
    <xf numFmtId="0" fontId="47" fillId="0" borderId="0"/>
    <xf numFmtId="0" fontId="47" fillId="0" borderId="0"/>
    <xf numFmtId="0" fontId="51" fillId="0" borderId="0"/>
    <xf numFmtId="0" fontId="52" fillId="0" borderId="0" applyNumberFormat="0" applyFill="0" applyBorder="0" applyAlignment="0" applyProtection="0"/>
    <xf numFmtId="0" fontId="53" fillId="0" borderId="49" applyNumberFormat="0" applyFill="0" applyAlignment="0" applyProtection="0"/>
    <xf numFmtId="0" fontId="54" fillId="0" borderId="50" applyNumberFormat="0" applyFill="0" applyAlignment="0" applyProtection="0"/>
    <xf numFmtId="0" fontId="55" fillId="0" borderId="51" applyNumberFormat="0" applyFill="0" applyAlignment="0" applyProtection="0"/>
    <xf numFmtId="0" fontId="55" fillId="0" borderId="0" applyNumberFormat="0" applyFill="0" applyBorder="0" applyAlignment="0" applyProtection="0"/>
    <xf numFmtId="0" fontId="56" fillId="30" borderId="0" applyNumberFormat="0" applyBorder="0" applyAlignment="0" applyProtection="0"/>
    <xf numFmtId="0" fontId="57" fillId="31" borderId="0" applyNumberFormat="0" applyBorder="0" applyAlignment="0" applyProtection="0"/>
    <xf numFmtId="0" fontId="58" fillId="32" borderId="0" applyNumberFormat="0" applyBorder="0" applyAlignment="0" applyProtection="0"/>
    <xf numFmtId="0" fontId="59" fillId="33" borderId="52" applyNumberFormat="0" applyAlignment="0" applyProtection="0"/>
    <xf numFmtId="0" fontId="60" fillId="34" borderId="53" applyNumberFormat="0" applyAlignment="0" applyProtection="0"/>
    <xf numFmtId="0" fontId="61" fillId="34" borderId="52" applyNumberFormat="0" applyAlignment="0" applyProtection="0"/>
    <xf numFmtId="0" fontId="62" fillId="0" borderId="54" applyNumberFormat="0" applyFill="0" applyAlignment="0" applyProtection="0"/>
    <xf numFmtId="0" fontId="63" fillId="35" borderId="55" applyNumberFormat="0" applyAlignment="0" applyProtection="0"/>
    <xf numFmtId="0" fontId="64" fillId="0" borderId="0" applyNumberFormat="0" applyFill="0" applyBorder="0" applyAlignment="0" applyProtection="0"/>
    <xf numFmtId="0" fontId="51" fillId="36" borderId="56" applyNumberFormat="0" applyFont="0" applyAlignment="0" applyProtection="0"/>
    <xf numFmtId="0" fontId="65" fillId="0" borderId="0" applyNumberFormat="0" applyFill="0" applyBorder="0" applyAlignment="0" applyProtection="0"/>
    <xf numFmtId="0" fontId="23" fillId="0" borderId="57" applyNumberFormat="0" applyFill="0" applyAlignment="0" applyProtection="0"/>
    <xf numFmtId="0" fontId="66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66" fillId="40" borderId="0" applyNumberFormat="0" applyBorder="0" applyAlignment="0" applyProtection="0"/>
    <xf numFmtId="0" fontId="66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3" borderId="0" applyNumberFormat="0" applyBorder="0" applyAlignment="0" applyProtection="0"/>
    <xf numFmtId="0" fontId="66" fillId="44" borderId="0" applyNumberFormat="0" applyBorder="0" applyAlignment="0" applyProtection="0"/>
    <xf numFmtId="0" fontId="66" fillId="45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51" fillId="50" borderId="0" applyNumberFormat="0" applyBorder="0" applyAlignment="0" applyProtection="0"/>
    <xf numFmtId="0" fontId="51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66" fillId="56" borderId="0" applyNumberFormat="0" applyBorder="0" applyAlignment="0" applyProtection="0"/>
    <xf numFmtId="0" fontId="66" fillId="57" borderId="0" applyNumberFormat="0" applyBorder="0" applyAlignment="0" applyProtection="0"/>
    <xf numFmtId="0" fontId="51" fillId="58" borderId="0" applyNumberFormat="0" applyBorder="0" applyAlignment="0" applyProtection="0"/>
    <xf numFmtId="0" fontId="51" fillId="59" borderId="0" applyNumberFormat="0" applyBorder="0" applyAlignment="0" applyProtection="0"/>
    <xf numFmtId="0" fontId="66" fillId="60" borderId="0" applyNumberFormat="0" applyBorder="0" applyAlignment="0" applyProtection="0"/>
    <xf numFmtId="0" fontId="2" fillId="0" borderId="0"/>
    <xf numFmtId="0" fontId="2" fillId="36" borderId="56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68" fillId="0" borderId="0"/>
    <xf numFmtId="0" fontId="69" fillId="0" borderId="0"/>
    <xf numFmtId="0" fontId="70" fillId="0" borderId="0" applyNumberFormat="0" applyFill="0" applyBorder="0" applyAlignment="0" applyProtection="0"/>
    <xf numFmtId="0" fontId="71" fillId="32" borderId="0" applyNumberFormat="0" applyBorder="0" applyAlignment="0" applyProtection="0"/>
    <xf numFmtId="0" fontId="22" fillId="40" borderId="0" applyNumberFormat="0" applyBorder="0" applyAlignment="0" applyProtection="0"/>
    <xf numFmtId="0" fontId="22" fillId="44" borderId="0" applyNumberFormat="0" applyBorder="0" applyAlignment="0" applyProtection="0"/>
    <xf numFmtId="0" fontId="22" fillId="48" borderId="0" applyNumberFormat="0" applyBorder="0" applyAlignment="0" applyProtection="0"/>
    <xf numFmtId="0" fontId="22" fillId="52" borderId="0" applyNumberFormat="0" applyBorder="0" applyAlignment="0" applyProtection="0"/>
    <xf numFmtId="0" fontId="22" fillId="56" borderId="0" applyNumberFormat="0" applyBorder="0" applyAlignment="0" applyProtection="0"/>
    <xf numFmtId="0" fontId="22" fillId="60" borderId="0" applyNumberFormat="0" applyBorder="0" applyAlignment="0" applyProtection="0"/>
    <xf numFmtId="0" fontId="49" fillId="0" borderId="0"/>
    <xf numFmtId="0" fontId="73" fillId="0" borderId="0"/>
    <xf numFmtId="0" fontId="73" fillId="0" borderId="0"/>
  </cellStyleXfs>
  <cellXfs count="188">
    <xf numFmtId="0" fontId="0" fillId="0" borderId="0" xfId="0"/>
    <xf numFmtId="0" fontId="23" fillId="24" borderId="24" xfId="0" applyFont="1" applyFill="1" applyBorder="1"/>
    <xf numFmtId="0" fontId="23" fillId="24" borderId="25" xfId="0" applyFont="1" applyFill="1" applyBorder="1"/>
    <xf numFmtId="0" fontId="23" fillId="24" borderId="26" xfId="0" applyFont="1" applyFill="1" applyBorder="1"/>
    <xf numFmtId="166" fontId="0" fillId="0" borderId="22" xfId="0" applyNumberFormat="1" applyBorder="1"/>
    <xf numFmtId="166" fontId="0" fillId="0" borderId="23" xfId="0" applyNumberFormat="1" applyBorder="1"/>
    <xf numFmtId="166" fontId="0" fillId="0" borderId="1" xfId="0" applyNumberFormat="1" applyBorder="1"/>
    <xf numFmtId="166" fontId="0" fillId="0" borderId="2" xfId="0" applyNumberFormat="1" applyBorder="1"/>
    <xf numFmtId="166" fontId="23" fillId="24" borderId="26" xfId="0" applyNumberFormat="1" applyFont="1" applyFill="1" applyBorder="1"/>
    <xf numFmtId="166" fontId="0" fillId="0" borderId="0" xfId="0" applyNumberFormat="1"/>
    <xf numFmtId="0" fontId="0" fillId="0" borderId="17" xfId="0" applyBorder="1"/>
    <xf numFmtId="0" fontId="0" fillId="0" borderId="19" xfId="0" applyBorder="1"/>
    <xf numFmtId="0" fontId="23" fillId="24" borderId="27" xfId="0" applyFont="1" applyFill="1" applyBorder="1"/>
    <xf numFmtId="0" fontId="23" fillId="24" borderId="13" xfId="0" applyFont="1" applyFill="1" applyBorder="1"/>
    <xf numFmtId="0" fontId="23" fillId="24" borderId="31" xfId="0" applyFont="1" applyFill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166" fontId="23" fillId="24" borderId="20" xfId="0" applyNumberFormat="1" applyFont="1" applyFill="1" applyBorder="1"/>
    <xf numFmtId="167" fontId="0" fillId="0" borderId="28" xfId="43" applyNumberFormat="1" applyFont="1" applyBorder="1"/>
    <xf numFmtId="167" fontId="0" fillId="0" borderId="14" xfId="43" applyNumberFormat="1" applyFont="1" applyBorder="1"/>
    <xf numFmtId="167" fontId="0" fillId="0" borderId="30" xfId="43" applyNumberFormat="1" applyFont="1" applyBorder="1"/>
    <xf numFmtId="167" fontId="0" fillId="0" borderId="35" xfId="43" applyNumberFormat="1" applyFont="1" applyBorder="1"/>
    <xf numFmtId="167" fontId="0" fillId="0" borderId="21" xfId="43" applyNumberFormat="1" applyFont="1" applyBorder="1"/>
    <xf numFmtId="167" fontId="0" fillId="0" borderId="32" xfId="43" applyNumberFormat="1" applyFont="1" applyBorder="1"/>
    <xf numFmtId="167" fontId="23" fillId="24" borderId="24" xfId="43" applyNumberFormat="1" applyFont="1" applyFill="1" applyBorder="1"/>
    <xf numFmtId="167" fontId="23" fillId="24" borderId="27" xfId="43" applyNumberFormat="1" applyFont="1" applyFill="1" applyBorder="1"/>
    <xf numFmtId="167" fontId="23" fillId="24" borderId="31" xfId="43" applyNumberFormat="1" applyFont="1" applyFill="1" applyBorder="1"/>
    <xf numFmtId="0" fontId="23" fillId="25" borderId="48" xfId="0" applyFont="1" applyFill="1" applyBorder="1"/>
    <xf numFmtId="0" fontId="0" fillId="0" borderId="44" xfId="0" applyBorder="1"/>
    <xf numFmtId="0" fontId="23" fillId="25" borderId="42" xfId="0" applyFont="1" applyFill="1" applyBorder="1"/>
    <xf numFmtId="0" fontId="0" fillId="0" borderId="41" xfId="0" applyBorder="1"/>
    <xf numFmtId="0" fontId="0" fillId="0" borderId="40" xfId="0" applyBorder="1"/>
    <xf numFmtId="0" fontId="0" fillId="0" borderId="14" xfId="0" applyBorder="1"/>
    <xf numFmtId="0" fontId="3" fillId="0" borderId="0" xfId="0" applyFont="1"/>
    <xf numFmtId="0" fontId="26" fillId="0" borderId="0" xfId="0" applyFont="1"/>
    <xf numFmtId="169" fontId="0" fillId="0" borderId="0" xfId="48" applyNumberFormat="1" applyFont="1"/>
    <xf numFmtId="4" fontId="0" fillId="0" borderId="0" xfId="0" applyNumberFormat="1"/>
    <xf numFmtId="0" fontId="0" fillId="0" borderId="25" xfId="0" applyBorder="1"/>
    <xf numFmtId="0" fontId="23" fillId="24" borderId="17" xfId="0" applyFont="1" applyFill="1" applyBorder="1"/>
    <xf numFmtId="0" fontId="23" fillId="24" borderId="21" xfId="0" applyFont="1" applyFill="1" applyBorder="1"/>
    <xf numFmtId="0" fontId="23" fillId="24" borderId="19" xfId="0" applyFont="1" applyFill="1" applyBorder="1"/>
    <xf numFmtId="165" fontId="0" fillId="26" borderId="26" xfId="48" applyFont="1" applyFill="1" applyBorder="1"/>
    <xf numFmtId="0" fontId="27" fillId="0" borderId="0" xfId="0" applyFont="1"/>
    <xf numFmtId="166" fontId="23" fillId="24" borderId="18" xfId="0" applyNumberFormat="1" applyFont="1" applyFill="1" applyBorder="1"/>
    <xf numFmtId="166" fontId="23" fillId="24" borderId="23" xfId="0" applyNumberFormat="1" applyFont="1" applyFill="1" applyBorder="1"/>
    <xf numFmtId="166" fontId="0" fillId="0" borderId="25" xfId="0" applyNumberFormat="1" applyBorder="1"/>
    <xf numFmtId="0" fontId="29" fillId="28" borderId="0" xfId="0" applyFont="1" applyFill="1" applyAlignment="1">
      <alignment horizontal="center" vertical="center" wrapText="1"/>
    </xf>
    <xf numFmtId="0" fontId="30" fillId="29" borderId="0" xfId="0" applyFont="1" applyFill="1" applyAlignment="1">
      <alignment horizontal="center" vertical="center" wrapText="1"/>
    </xf>
    <xf numFmtId="0" fontId="3" fillId="24" borderId="0" xfId="1" applyFill="1" applyAlignment="1">
      <alignment vertical="top"/>
    </xf>
    <xf numFmtId="0" fontId="3" fillId="0" borderId="0" xfId="1" applyAlignment="1">
      <alignment vertical="top"/>
    </xf>
    <xf numFmtId="0" fontId="28" fillId="0" borderId="0" xfId="0" applyFont="1" applyAlignment="1">
      <alignment horizontal="center" wrapText="1"/>
    </xf>
    <xf numFmtId="167" fontId="0" fillId="0" borderId="1" xfId="43" applyNumberFormat="1" applyFont="1" applyBorder="1"/>
    <xf numFmtId="167" fontId="0" fillId="0" borderId="18" xfId="43" applyNumberFormat="1" applyFont="1" applyBorder="1"/>
    <xf numFmtId="14" fontId="0" fillId="0" borderId="0" xfId="0" applyNumberFormat="1"/>
    <xf numFmtId="0" fontId="0" fillId="0" borderId="42" xfId="0" applyBorder="1"/>
    <xf numFmtId="0" fontId="0" fillId="0" borderId="36" xfId="0" applyBorder="1"/>
    <xf numFmtId="167" fontId="0" fillId="0" borderId="17" xfId="43" applyNumberFormat="1" applyFont="1" applyBorder="1"/>
    <xf numFmtId="167" fontId="0" fillId="0" borderId="3" xfId="43" applyNumberFormat="1" applyFont="1" applyBorder="1"/>
    <xf numFmtId="167" fontId="0" fillId="0" borderId="33" xfId="43" applyNumberFormat="1" applyFont="1" applyBorder="1"/>
    <xf numFmtId="0" fontId="0" fillId="0" borderId="0" xfId="0" applyAlignment="1">
      <alignment horizontal="right"/>
    </xf>
    <xf numFmtId="0" fontId="28" fillId="0" borderId="0" xfId="0" applyFont="1" applyAlignment="1">
      <alignment horizontal="right" wrapText="1"/>
    </xf>
    <xf numFmtId="0" fontId="47" fillId="0" borderId="0" xfId="90" applyAlignment="1">
      <alignment horizontal="right"/>
    </xf>
    <xf numFmtId="0" fontId="48" fillId="0" borderId="0" xfId="44" applyFont="1" applyAlignment="1">
      <alignment horizontal="right"/>
    </xf>
    <xf numFmtId="0" fontId="28" fillId="0" borderId="0" xfId="0" applyFont="1" applyAlignment="1">
      <alignment horizontal="right" wrapText="1" readingOrder="2"/>
    </xf>
    <xf numFmtId="0" fontId="28" fillId="0" borderId="0" xfId="46" applyFont="1" applyAlignment="1">
      <alignment horizontal="right" wrapText="1"/>
    </xf>
    <xf numFmtId="0" fontId="0" fillId="27" borderId="0" xfId="0" applyFill="1" applyAlignment="1">
      <alignment horizontal="right"/>
    </xf>
    <xf numFmtId="0" fontId="0" fillId="27" borderId="0" xfId="0" applyFill="1"/>
    <xf numFmtId="0" fontId="49" fillId="0" borderId="0" xfId="0" applyFont="1" applyAlignment="1">
      <alignment horizontal="right" readingOrder="1"/>
    </xf>
    <xf numFmtId="0" fontId="29" fillId="28" borderId="0" xfId="0" applyFont="1" applyFill="1" applyAlignment="1">
      <alignment horizontal="center" vertical="top" wrapText="1"/>
    </xf>
    <xf numFmtId="0" fontId="30" fillId="29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7" fillId="0" borderId="0" xfId="0" applyFont="1" applyAlignment="1">
      <alignment horizontal="right" readingOrder="1"/>
    </xf>
    <xf numFmtId="164" fontId="0" fillId="0" borderId="0" xfId="0" applyNumberFormat="1"/>
    <xf numFmtId="172" fontId="0" fillId="0" borderId="0" xfId="0" applyNumberFormat="1"/>
    <xf numFmtId="168" fontId="0" fillId="0" borderId="0" xfId="0" applyNumberFormat="1"/>
    <xf numFmtId="0" fontId="0" fillId="0" borderId="39" xfId="0" applyBorder="1"/>
    <xf numFmtId="0" fontId="0" fillId="0" borderId="39" xfId="0" applyBorder="1" applyAlignment="1">
      <alignment wrapText="1"/>
    </xf>
    <xf numFmtId="165" fontId="0" fillId="0" borderId="28" xfId="48" applyFont="1" applyBorder="1"/>
    <xf numFmtId="165" fontId="0" fillId="0" borderId="3" xfId="48" applyFont="1" applyBorder="1"/>
    <xf numFmtId="165" fontId="0" fillId="0" borderId="29" xfId="48" applyFont="1" applyBorder="1"/>
    <xf numFmtId="165" fontId="0" fillId="26" borderId="27" xfId="48" applyFont="1" applyFill="1" applyBorder="1"/>
    <xf numFmtId="0" fontId="23" fillId="0" borderId="0" xfId="0" applyFont="1"/>
    <xf numFmtId="172" fontId="0" fillId="0" borderId="1" xfId="0" applyNumberFormat="1" applyBorder="1"/>
    <xf numFmtId="172" fontId="0" fillId="0" borderId="18" xfId="0" applyNumberFormat="1" applyBorder="1"/>
    <xf numFmtId="0" fontId="0" fillId="0" borderId="62" xfId="0" applyBorder="1"/>
    <xf numFmtId="172" fontId="0" fillId="0" borderId="39" xfId="0" applyNumberFormat="1" applyBorder="1"/>
    <xf numFmtId="0" fontId="0" fillId="0" borderId="24" xfId="0" applyBorder="1"/>
    <xf numFmtId="172" fontId="0" fillId="0" borderId="16" xfId="0" applyNumberFormat="1" applyBorder="1"/>
    <xf numFmtId="9" fontId="0" fillId="0" borderId="63" xfId="43" applyFont="1" applyBorder="1"/>
    <xf numFmtId="0" fontId="69" fillId="0" borderId="0" xfId="149" applyAlignment="1">
      <alignment horizontal="right" readingOrder="1"/>
    </xf>
    <xf numFmtId="0" fontId="49" fillId="0" borderId="0" xfId="158" applyAlignment="1">
      <alignment horizontal="right" readingOrder="1"/>
    </xf>
    <xf numFmtId="0" fontId="69" fillId="0" borderId="0" xfId="0" applyFont="1" applyAlignment="1">
      <alignment horizontal="right" readingOrder="1"/>
    </xf>
    <xf numFmtId="170" fontId="69" fillId="0" borderId="0" xfId="0" applyNumberFormat="1" applyFont="1" applyAlignment="1">
      <alignment horizontal="right" readingOrder="1"/>
    </xf>
    <xf numFmtId="0" fontId="72" fillId="0" borderId="0" xfId="0" applyFont="1" applyAlignment="1">
      <alignment horizontal="right" vertical="center" wrapText="1"/>
    </xf>
    <xf numFmtId="0" fontId="72" fillId="0" borderId="0" xfId="0" applyFont="1"/>
    <xf numFmtId="14" fontId="0" fillId="0" borderId="0" xfId="0" applyNumberFormat="1" applyAlignment="1">
      <alignment vertical="top"/>
    </xf>
    <xf numFmtId="0" fontId="69" fillId="0" borderId="0" xfId="0" applyFont="1" applyAlignment="1">
      <alignment horizontal="right" readingOrder="2"/>
    </xf>
    <xf numFmtId="170" fontId="69" fillId="0" borderId="0" xfId="0" applyNumberFormat="1" applyFont="1" applyAlignment="1">
      <alignment horizontal="right" readingOrder="2"/>
    </xf>
    <xf numFmtId="0" fontId="0" fillId="0" borderId="31" xfId="0" applyBorder="1" applyAlignment="1">
      <alignment horizontal="right" readingOrder="2"/>
    </xf>
    <xf numFmtId="9" fontId="0" fillId="0" borderId="32" xfId="43" applyFont="1" applyBorder="1"/>
    <xf numFmtId="0" fontId="49" fillId="0" borderId="0" xfId="0" applyFont="1" applyAlignment="1">
      <alignment horizontal="right" readingOrder="2"/>
    </xf>
    <xf numFmtId="170" fontId="49" fillId="0" borderId="0" xfId="0" applyNumberFormat="1" applyFont="1" applyAlignment="1">
      <alignment horizontal="right" readingOrder="2"/>
    </xf>
    <xf numFmtId="171" fontId="49" fillId="0" borderId="0" xfId="0" applyNumberFormat="1" applyFont="1" applyAlignment="1">
      <alignment horizontal="right" readingOrder="2"/>
    </xf>
    <xf numFmtId="0" fontId="73" fillId="0" borderId="0" xfId="0" applyFont="1" applyAlignment="1">
      <alignment horizontal="right" readingOrder="2"/>
    </xf>
    <xf numFmtId="170" fontId="73" fillId="0" borderId="0" xfId="0" applyNumberFormat="1" applyFont="1" applyAlignment="1">
      <alignment horizontal="right" readingOrder="2"/>
    </xf>
    <xf numFmtId="171" fontId="73" fillId="0" borderId="0" xfId="0" applyNumberFormat="1" applyFont="1" applyAlignment="1">
      <alignment horizontal="right" readingOrder="2"/>
    </xf>
    <xf numFmtId="14" fontId="73" fillId="0" borderId="0" xfId="0" applyNumberFormat="1" applyFont="1" applyAlignment="1">
      <alignment horizontal="right" readingOrder="2"/>
    </xf>
    <xf numFmtId="14" fontId="49" fillId="0" borderId="0" xfId="0" applyNumberFormat="1" applyFont="1" applyAlignment="1">
      <alignment horizontal="right" readingOrder="2"/>
    </xf>
    <xf numFmtId="0" fontId="73" fillId="0" borderId="0" xfId="159" applyAlignment="1">
      <alignment horizontal="right" readingOrder="2"/>
    </xf>
    <xf numFmtId="170" fontId="73" fillId="0" borderId="0" xfId="159" applyNumberFormat="1" applyAlignment="1">
      <alignment horizontal="right" readingOrder="2"/>
    </xf>
    <xf numFmtId="171" fontId="73" fillId="0" borderId="0" xfId="159" applyNumberFormat="1" applyAlignment="1">
      <alignment horizontal="right" readingOrder="2"/>
    </xf>
    <xf numFmtId="14" fontId="73" fillId="0" borderId="0" xfId="159" applyNumberFormat="1" applyAlignment="1">
      <alignment horizontal="right" readingOrder="2"/>
    </xf>
    <xf numFmtId="0" fontId="3" fillId="0" borderId="0" xfId="1" applyAlignment="1">
      <alignment horizontal="right" vertical="top"/>
    </xf>
    <xf numFmtId="0" fontId="49" fillId="0" borderId="0" xfId="159" applyFont="1" applyAlignment="1">
      <alignment horizontal="right" readingOrder="2"/>
    </xf>
    <xf numFmtId="174" fontId="73" fillId="0" borderId="0" xfId="0" applyNumberFormat="1" applyFont="1" applyAlignment="1">
      <alignment horizontal="right" readingOrder="2"/>
    </xf>
    <xf numFmtId="173" fontId="73" fillId="0" borderId="0" xfId="0" applyNumberFormat="1" applyFont="1" applyAlignment="1">
      <alignment horizontal="right" readingOrder="2"/>
    </xf>
    <xf numFmtId="0" fontId="73" fillId="0" borderId="0" xfId="160" applyAlignment="1">
      <alignment horizontal="right" readingOrder="2"/>
    </xf>
    <xf numFmtId="170" fontId="73" fillId="0" borderId="0" xfId="160" applyNumberFormat="1" applyAlignment="1">
      <alignment horizontal="right" readingOrder="2"/>
    </xf>
    <xf numFmtId="171" fontId="73" fillId="0" borderId="0" xfId="160" applyNumberFormat="1" applyAlignment="1">
      <alignment horizontal="right" readingOrder="2"/>
    </xf>
    <xf numFmtId="14" fontId="73" fillId="0" borderId="0" xfId="160" applyNumberFormat="1" applyAlignment="1">
      <alignment horizontal="right" readingOrder="2"/>
    </xf>
    <xf numFmtId="175" fontId="73" fillId="0" borderId="0" xfId="160" applyNumberFormat="1" applyAlignment="1">
      <alignment horizontal="right" readingOrder="2"/>
    </xf>
    <xf numFmtId="9" fontId="0" fillId="0" borderId="0" xfId="43" applyFont="1"/>
    <xf numFmtId="173" fontId="49" fillId="0" borderId="0" xfId="0" applyNumberFormat="1" applyFont="1" applyAlignment="1">
      <alignment horizontal="right" readingOrder="2"/>
    </xf>
    <xf numFmtId="175" fontId="49" fillId="0" borderId="0" xfId="0" applyNumberFormat="1" applyFont="1" applyAlignment="1">
      <alignment horizontal="right" readingOrder="2"/>
    </xf>
    <xf numFmtId="176" fontId="49" fillId="0" borderId="0" xfId="0" applyNumberFormat="1" applyFont="1" applyAlignment="1">
      <alignment horizontal="right" readingOrder="2"/>
    </xf>
    <xf numFmtId="177" fontId="0" fillId="0" borderId="0" xfId="0" applyNumberFormat="1"/>
    <xf numFmtId="178" fontId="0" fillId="0" borderId="0" xfId="0" applyNumberFormat="1"/>
    <xf numFmtId="172" fontId="0" fillId="0" borderId="15" xfId="0" applyNumberFormat="1" applyBorder="1"/>
    <xf numFmtId="9" fontId="0" fillId="0" borderId="35" xfId="43" applyFont="1" applyBorder="1"/>
    <xf numFmtId="9" fontId="0" fillId="0" borderId="66" xfId="43" applyFont="1" applyBorder="1"/>
    <xf numFmtId="0" fontId="74" fillId="0" borderId="0" xfId="0" applyFont="1" applyAlignment="1">
      <alignment horizontal="right" readingOrder="2"/>
    </xf>
    <xf numFmtId="170" fontId="74" fillId="0" borderId="0" xfId="0" applyNumberFormat="1" applyFont="1" applyAlignment="1">
      <alignment horizontal="right" readingOrder="2"/>
    </xf>
    <xf numFmtId="14" fontId="74" fillId="0" borderId="0" xfId="0" applyNumberFormat="1" applyFont="1" applyAlignment="1">
      <alignment horizontal="right" readingOrder="2"/>
    </xf>
    <xf numFmtId="0" fontId="0" fillId="0" borderId="0" xfId="0" applyAlignment="1">
      <alignment horizontal="right" readingOrder="2"/>
    </xf>
    <xf numFmtId="170" fontId="74" fillId="0" borderId="0" xfId="0" applyNumberFormat="1" applyFont="1" applyAlignment="1">
      <alignment horizontal="right" readingOrder="1"/>
    </xf>
    <xf numFmtId="173" fontId="74" fillId="0" borderId="0" xfId="0" applyNumberFormat="1" applyFont="1" applyAlignment="1">
      <alignment horizontal="right" readingOrder="1"/>
    </xf>
    <xf numFmtId="179" fontId="74" fillId="0" borderId="0" xfId="0" applyNumberFormat="1" applyFont="1" applyAlignment="1">
      <alignment horizontal="right" readingOrder="1"/>
    </xf>
    <xf numFmtId="14" fontId="0" fillId="0" borderId="0" xfId="0" applyNumberFormat="1" applyAlignment="1">
      <alignment horizontal="right" readingOrder="2"/>
    </xf>
    <xf numFmtId="175" fontId="74" fillId="0" borderId="0" xfId="0" applyNumberFormat="1" applyFont="1" applyAlignment="1">
      <alignment horizontal="right" readingOrder="1"/>
    </xf>
    <xf numFmtId="170" fontId="49" fillId="0" borderId="0" xfId="0" applyNumberFormat="1" applyFont="1" applyAlignment="1">
      <alignment horizontal="right" readingOrder="1"/>
    </xf>
    <xf numFmtId="169" fontId="0" fillId="0" borderId="15" xfId="48" applyNumberFormat="1" applyFont="1" applyBorder="1"/>
    <xf numFmtId="169" fontId="0" fillId="0" borderId="0" xfId="0" applyNumberFormat="1"/>
    <xf numFmtId="169" fontId="0" fillId="0" borderId="45" xfId="48" applyNumberFormat="1" applyFont="1" applyBorder="1"/>
    <xf numFmtId="169" fontId="23" fillId="25" borderId="38" xfId="48" applyNumberFormat="1" applyFont="1" applyFill="1" applyBorder="1"/>
    <xf numFmtId="169" fontId="0" fillId="0" borderId="1" xfId="48" applyNumberFormat="1" applyFont="1" applyBorder="1"/>
    <xf numFmtId="169" fontId="0" fillId="0" borderId="46" xfId="48" applyNumberFormat="1" applyFont="1" applyBorder="1"/>
    <xf numFmtId="169" fontId="23" fillId="25" borderId="36" xfId="48" applyNumberFormat="1" applyFont="1" applyFill="1" applyBorder="1"/>
    <xf numFmtId="169" fontId="0" fillId="0" borderId="1" xfId="48" applyNumberFormat="1" applyFont="1" applyBorder="1" applyAlignment="1">
      <alignment readingOrder="2"/>
    </xf>
    <xf numFmtId="169" fontId="0" fillId="0" borderId="2" xfId="48" applyNumberFormat="1" applyFont="1" applyBorder="1"/>
    <xf numFmtId="169" fontId="0" fillId="0" borderId="18" xfId="48" applyNumberFormat="1" applyFont="1" applyBorder="1"/>
    <xf numFmtId="169" fontId="0" fillId="0" borderId="65" xfId="48" applyNumberFormat="1" applyFont="1" applyBorder="1"/>
    <xf numFmtId="169" fontId="1" fillId="0" borderId="2" xfId="48" applyNumberFormat="1" applyFont="1" applyBorder="1"/>
    <xf numFmtId="169" fontId="0" fillId="0" borderId="39" xfId="48" applyNumberFormat="1" applyFont="1" applyBorder="1"/>
    <xf numFmtId="169" fontId="0" fillId="0" borderId="43" xfId="48" applyNumberFormat="1" applyFont="1" applyBorder="1"/>
    <xf numFmtId="169" fontId="23" fillId="25" borderId="37" xfId="48" applyNumberFormat="1" applyFont="1" applyFill="1" applyBorder="1"/>
    <xf numFmtId="169" fontId="23" fillId="25" borderId="43" xfId="48" applyNumberFormat="1" applyFont="1" applyFill="1" applyBorder="1"/>
    <xf numFmtId="169" fontId="23" fillId="25" borderId="47" xfId="48" applyNumberFormat="1" applyFont="1" applyFill="1" applyBorder="1"/>
    <xf numFmtId="169" fontId="23" fillId="25" borderId="13" xfId="48" applyNumberFormat="1" applyFont="1" applyFill="1" applyBorder="1"/>
    <xf numFmtId="172" fontId="0" fillId="0" borderId="22" xfId="0" applyNumberFormat="1" applyBorder="1"/>
    <xf numFmtId="172" fontId="0" fillId="0" borderId="23" xfId="0" applyNumberFormat="1" applyBorder="1"/>
    <xf numFmtId="172" fontId="0" fillId="0" borderId="61" xfId="0" applyNumberFormat="1" applyBorder="1"/>
    <xf numFmtId="172" fontId="0" fillId="0" borderId="20" xfId="0" applyNumberFormat="1" applyBorder="1"/>
    <xf numFmtId="172" fontId="23" fillId="24" borderId="27" xfId="0" applyNumberFormat="1" applyFont="1" applyFill="1" applyBorder="1"/>
    <xf numFmtId="172" fontId="23" fillId="24" borderId="25" xfId="0" applyNumberFormat="1" applyFont="1" applyFill="1" applyBorder="1"/>
    <xf numFmtId="172" fontId="23" fillId="24" borderId="26" xfId="0" applyNumberFormat="1" applyFont="1" applyFill="1" applyBorder="1"/>
    <xf numFmtId="172" fontId="0" fillId="0" borderId="28" xfId="0" applyNumberFormat="1" applyBorder="1"/>
    <xf numFmtId="172" fontId="0" fillId="0" borderId="3" xfId="0" applyNumberFormat="1" applyBorder="1"/>
    <xf numFmtId="172" fontId="0" fillId="0" borderId="29" xfId="0" applyNumberFormat="1" applyBorder="1"/>
    <xf numFmtId="172" fontId="0" fillId="0" borderId="2" xfId="0" applyNumberFormat="1" applyBorder="1"/>
    <xf numFmtId="170" fontId="74" fillId="0" borderId="0" xfId="0" applyNumberFormat="1" applyFont="1" applyAlignment="1">
      <alignment readingOrder="1"/>
    </xf>
    <xf numFmtId="179" fontId="74" fillId="0" borderId="0" xfId="0" applyNumberFormat="1" applyFont="1" applyAlignment="1">
      <alignment readingOrder="1"/>
    </xf>
    <xf numFmtId="0" fontId="23" fillId="24" borderId="14" xfId="0" applyFont="1" applyFill="1" applyBorder="1" applyAlignment="1">
      <alignment horizontal="center"/>
    </xf>
    <xf numFmtId="0" fontId="23" fillId="24" borderId="62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23" fillId="24" borderId="16" xfId="0" applyFont="1" applyFill="1" applyBorder="1" applyAlignment="1">
      <alignment horizontal="center"/>
    </xf>
    <xf numFmtId="0" fontId="23" fillId="24" borderId="63" xfId="0" applyFont="1" applyFill="1" applyBorder="1" applyAlignment="1">
      <alignment horizontal="center"/>
    </xf>
    <xf numFmtId="0" fontId="23" fillId="26" borderId="30" xfId="0" applyFont="1" applyFill="1" applyBorder="1" applyAlignment="1">
      <alignment horizontal="center"/>
    </xf>
    <xf numFmtId="0" fontId="23" fillId="26" borderId="64" xfId="0" applyFont="1" applyFill="1" applyBorder="1" applyAlignment="1">
      <alignment horizontal="center"/>
    </xf>
    <xf numFmtId="0" fontId="23" fillId="26" borderId="16" xfId="0" applyFont="1" applyFill="1" applyBorder="1" applyAlignment="1">
      <alignment horizontal="center"/>
    </xf>
    <xf numFmtId="0" fontId="23" fillId="26" borderId="63" xfId="0" applyFont="1" applyFill="1" applyBorder="1" applyAlignment="1">
      <alignment horizontal="center"/>
    </xf>
    <xf numFmtId="0" fontId="0" fillId="0" borderId="58" xfId="0" applyBorder="1" applyAlignment="1">
      <alignment horizontal="center" vertical="center" textRotation="90"/>
    </xf>
    <xf numFmtId="0" fontId="0" fillId="0" borderId="59" xfId="0" applyBorder="1" applyAlignment="1">
      <alignment horizontal="center" vertical="center" textRotation="90"/>
    </xf>
    <xf numFmtId="0" fontId="0" fillId="0" borderId="60" xfId="0" applyBorder="1" applyAlignment="1">
      <alignment horizontal="center" vertical="center" textRotation="90"/>
    </xf>
  </cellXfs>
  <cellStyles count="161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20% - הדגשה1" xfId="67" builtinId="30" customBuiltin="1"/>
    <cellStyle name="20% - הדגשה1 2" xfId="111" xr:uid="{00000000-0005-0000-0000-000007000000}"/>
    <cellStyle name="20% - הדגשה1 2 2" xfId="136" xr:uid="{A8412F07-26C0-4BC3-8392-82645D8D4641}"/>
    <cellStyle name="20% - הדגשה2" xfId="71" builtinId="34" customBuiltin="1"/>
    <cellStyle name="20% - הדגשה2 2" xfId="115" xr:uid="{00000000-0005-0000-0000-000009000000}"/>
    <cellStyle name="20% - הדגשה2 2 2" xfId="138" xr:uid="{434A6950-3CF3-4C32-8AB2-9E04E69AA2EB}"/>
    <cellStyle name="20% - הדגשה3" xfId="75" builtinId="38" customBuiltin="1"/>
    <cellStyle name="20% - הדגשה3 2" xfId="119" xr:uid="{00000000-0005-0000-0000-00000B000000}"/>
    <cellStyle name="20% - הדגשה3 2 2" xfId="140" xr:uid="{F7000522-F59E-4C43-A42F-FAE79123DA8C}"/>
    <cellStyle name="20% - הדגשה4" xfId="79" builtinId="42" customBuiltin="1"/>
    <cellStyle name="20% - הדגשה4 2" xfId="123" xr:uid="{00000000-0005-0000-0000-00000D000000}"/>
    <cellStyle name="20% - הדגשה4 2 2" xfId="142" xr:uid="{0DFA4417-1249-4C07-9781-A9E9FE42B7A4}"/>
    <cellStyle name="20% - הדגשה5" xfId="83" builtinId="46" customBuiltin="1"/>
    <cellStyle name="20% - הדגשה5 2" xfId="127" xr:uid="{00000000-0005-0000-0000-00000F000000}"/>
    <cellStyle name="20% - הדגשה5 2 2" xfId="144" xr:uid="{A357DFFE-5F2D-4A5A-AF21-5994041EB99A}"/>
    <cellStyle name="20% - הדגשה6" xfId="87" builtinId="50" customBuiltin="1"/>
    <cellStyle name="20% - הדגשה6 2" xfId="131" xr:uid="{00000000-0005-0000-0000-000011000000}"/>
    <cellStyle name="20% - הדגשה6 2 2" xfId="146" xr:uid="{35C0BF1C-C697-4FBB-97F6-2B7F4141A027}"/>
    <cellStyle name="40% - Accent1 2" xfId="8" xr:uid="{00000000-0005-0000-0000-000012000000}"/>
    <cellStyle name="40% - Accent2 2" xfId="9" xr:uid="{00000000-0005-0000-0000-000013000000}"/>
    <cellStyle name="40% - Accent3 2" xfId="10" xr:uid="{00000000-0005-0000-0000-000014000000}"/>
    <cellStyle name="40% - Accent4 2" xfId="11" xr:uid="{00000000-0005-0000-0000-000015000000}"/>
    <cellStyle name="40% - Accent5 2" xfId="12" xr:uid="{00000000-0005-0000-0000-000016000000}"/>
    <cellStyle name="40% - Accent6 2" xfId="13" xr:uid="{00000000-0005-0000-0000-000017000000}"/>
    <cellStyle name="40% - הדגשה1" xfId="68" builtinId="31" customBuiltin="1"/>
    <cellStyle name="40% - הדגשה1 2" xfId="112" xr:uid="{00000000-0005-0000-0000-000019000000}"/>
    <cellStyle name="40% - הדגשה1 2 2" xfId="137" xr:uid="{0148D147-381D-4006-8B30-D9C4EF66D571}"/>
    <cellStyle name="40% - הדגשה2" xfId="72" builtinId="35" customBuiltin="1"/>
    <cellStyle name="40% - הדגשה2 2" xfId="116" xr:uid="{00000000-0005-0000-0000-00001B000000}"/>
    <cellStyle name="40% - הדגשה2 2 2" xfId="139" xr:uid="{5FCC737C-098F-42CD-AC0B-48C2A603B4AF}"/>
    <cellStyle name="40% - הדגשה3" xfId="76" builtinId="39" customBuiltin="1"/>
    <cellStyle name="40% - הדגשה3 2" xfId="120" xr:uid="{00000000-0005-0000-0000-00001D000000}"/>
    <cellStyle name="40% - הדגשה3 2 2" xfId="141" xr:uid="{A1B7D14E-6A04-42FE-A7F7-247BDCFC4A83}"/>
    <cellStyle name="40% - הדגשה4" xfId="80" builtinId="43" customBuiltin="1"/>
    <cellStyle name="40% - הדגשה4 2" xfId="124" xr:uid="{00000000-0005-0000-0000-00001F000000}"/>
    <cellStyle name="40% - הדגשה4 2 2" xfId="143" xr:uid="{58EAB0A3-0BCE-433F-B9F4-A55301F93D7D}"/>
    <cellStyle name="40% - הדגשה5" xfId="84" builtinId="47" customBuiltin="1"/>
    <cellStyle name="40% - הדגשה5 2" xfId="128" xr:uid="{00000000-0005-0000-0000-000021000000}"/>
    <cellStyle name="40% - הדגשה5 2 2" xfId="145" xr:uid="{C327FB35-5FF2-460C-8F59-902D5BC68605}"/>
    <cellStyle name="40% - הדגשה6" xfId="88" builtinId="51" customBuiltin="1"/>
    <cellStyle name="40% - הדגשה6 2" xfId="132" xr:uid="{00000000-0005-0000-0000-000023000000}"/>
    <cellStyle name="40% - הדגשה6 2 2" xfId="147" xr:uid="{B245F976-9387-457B-8F37-4DAF1A8075D7}"/>
    <cellStyle name="60% - Accent1 2" xfId="14" xr:uid="{00000000-0005-0000-0000-000024000000}"/>
    <cellStyle name="60% - Accent1 2 2" xfId="152" xr:uid="{D7BDA5C2-AAB1-4EFC-985D-94D58C65F2C7}"/>
    <cellStyle name="60% - Accent2 2" xfId="15" xr:uid="{00000000-0005-0000-0000-000025000000}"/>
    <cellStyle name="60% - Accent2 2 2" xfId="153" xr:uid="{7EB7BA5F-FA72-4174-BF45-65B751A398F5}"/>
    <cellStyle name="60% - Accent3 2" xfId="16" xr:uid="{00000000-0005-0000-0000-000026000000}"/>
    <cellStyle name="60% - Accent3 2 2" xfId="154" xr:uid="{EF0FEEE2-8105-4F87-B4F3-6D66B01CD6E6}"/>
    <cellStyle name="60% - Accent4 2" xfId="17" xr:uid="{00000000-0005-0000-0000-000027000000}"/>
    <cellStyle name="60% - Accent4 2 2" xfId="155" xr:uid="{AE324319-DF8C-43B1-8D78-80B8C815DAB5}"/>
    <cellStyle name="60% - Accent5 2" xfId="18" xr:uid="{00000000-0005-0000-0000-000028000000}"/>
    <cellStyle name="60% - Accent5 2 2" xfId="156" xr:uid="{2129AE1A-A687-4D87-AD4D-FDC8C23A37AD}"/>
    <cellStyle name="60% - Accent6 2" xfId="19" xr:uid="{00000000-0005-0000-0000-000029000000}"/>
    <cellStyle name="60% - Accent6 2 2" xfId="157" xr:uid="{F4CEFC14-AFF0-4123-9A82-868A659E8A63}"/>
    <cellStyle name="60% - הדגשה1" xfId="69" builtinId="32" customBuiltin="1"/>
    <cellStyle name="60% - הדגשה1 2" xfId="113" xr:uid="{00000000-0005-0000-0000-00002B000000}"/>
    <cellStyle name="60% - הדגשה2" xfId="73" builtinId="36" customBuiltin="1"/>
    <cellStyle name="60% - הדגשה2 2" xfId="117" xr:uid="{00000000-0005-0000-0000-00002D000000}"/>
    <cellStyle name="60% - הדגשה3" xfId="77" builtinId="40" customBuiltin="1"/>
    <cellStyle name="60% - הדגשה3 2" xfId="121" xr:uid="{00000000-0005-0000-0000-00002F000000}"/>
    <cellStyle name="60% - הדגשה4" xfId="81" builtinId="44" customBuiltin="1"/>
    <cellStyle name="60% - הדגשה4 2" xfId="125" xr:uid="{00000000-0005-0000-0000-000031000000}"/>
    <cellStyle name="60% - הדגשה5" xfId="85" builtinId="48" customBuiltin="1"/>
    <cellStyle name="60% - הדגשה5 2" xfId="129" xr:uid="{00000000-0005-0000-0000-000033000000}"/>
    <cellStyle name="60% - הדגשה6" xfId="89" builtinId="52" customBuiltin="1"/>
    <cellStyle name="60% - הדגשה6 2" xfId="133" xr:uid="{00000000-0005-0000-0000-000035000000}"/>
    <cellStyle name="Accent1 2" xfId="20" xr:uid="{00000000-0005-0000-0000-000036000000}"/>
    <cellStyle name="Accent2 2" xfId="21" xr:uid="{00000000-0005-0000-0000-000037000000}"/>
    <cellStyle name="Accent3 2" xfId="22" xr:uid="{00000000-0005-0000-0000-000038000000}"/>
    <cellStyle name="Accent4 2" xfId="23" xr:uid="{00000000-0005-0000-0000-000039000000}"/>
    <cellStyle name="Accent5 2" xfId="24" xr:uid="{00000000-0005-0000-0000-00003A000000}"/>
    <cellStyle name="Accent6 2" xfId="25" xr:uid="{00000000-0005-0000-0000-00003B000000}"/>
    <cellStyle name="Bad 2" xfId="26" xr:uid="{00000000-0005-0000-0000-00003C000000}"/>
    <cellStyle name="Calculation 2" xfId="27" xr:uid="{00000000-0005-0000-0000-00003D000000}"/>
    <cellStyle name="Check Cell 2" xfId="28" xr:uid="{00000000-0005-0000-0000-00003E000000}"/>
    <cellStyle name="Currency" xfId="48" builtinId="4"/>
    <cellStyle name="Explanatory Text 2" xfId="29" xr:uid="{00000000-0005-0000-0000-000040000000}"/>
    <cellStyle name="Good 2" xfId="30" xr:uid="{00000000-0005-0000-0000-000041000000}"/>
    <cellStyle name="Heading 1 2" xfId="31" xr:uid="{00000000-0005-0000-0000-000042000000}"/>
    <cellStyle name="Heading 2 2" xfId="32" xr:uid="{00000000-0005-0000-0000-000043000000}"/>
    <cellStyle name="Heading 3 2" xfId="33" xr:uid="{00000000-0005-0000-0000-000044000000}"/>
    <cellStyle name="Heading 4 2" xfId="34" xr:uid="{00000000-0005-0000-0000-000045000000}"/>
    <cellStyle name="Input 2" xfId="35" xr:uid="{00000000-0005-0000-0000-000046000000}"/>
    <cellStyle name="Linked Cell 2" xfId="36" xr:uid="{00000000-0005-0000-0000-000047000000}"/>
    <cellStyle name="Neutral 2" xfId="37" xr:uid="{00000000-0005-0000-0000-000048000000}"/>
    <cellStyle name="Neutral 2 2" xfId="151" xr:uid="{94C0C7A0-B73D-41B0-81B7-5DDA6E1FFD82}"/>
    <cellStyle name="Normal" xfId="0" builtinId="0"/>
    <cellStyle name="Normal 10" xfId="160" xr:uid="{784D0ADA-59D6-4D4C-86AA-22DC883F7549}"/>
    <cellStyle name="Normal 2" xfId="1" xr:uid="{00000000-0005-0000-0000-00004A000000}"/>
    <cellStyle name="Normal 3" xfId="44" xr:uid="{00000000-0005-0000-0000-00004B000000}"/>
    <cellStyle name="Normal 3 2" xfId="91" xr:uid="{00000000-0005-0000-0000-00004C000000}"/>
    <cellStyle name="Normal 4" xfId="46" xr:uid="{00000000-0005-0000-0000-00004D000000}"/>
    <cellStyle name="Normal 4 2" xfId="92" xr:uid="{00000000-0005-0000-0000-00004E000000}"/>
    <cellStyle name="Normal 4 3" xfId="134" xr:uid="{8367B63C-E719-494F-B498-225DA35EB774}"/>
    <cellStyle name="Normal 5" xfId="90" xr:uid="{00000000-0005-0000-0000-00004F000000}"/>
    <cellStyle name="Normal 5 2" xfId="148" xr:uid="{4497C06C-0F04-4EF9-9173-4045718DDB8F}"/>
    <cellStyle name="Normal 6" xfId="149" xr:uid="{F1F0C4DB-0814-4B22-82EF-076D1ACA011C}"/>
    <cellStyle name="Normal 7" xfId="158" xr:uid="{70D8DF80-B875-4119-A10F-8860C7DC4C3E}"/>
    <cellStyle name="Normal 8" xfId="159" xr:uid="{62769140-EE49-4A7A-9BEE-E57865869A59}"/>
    <cellStyle name="Note 2" xfId="38" xr:uid="{00000000-0005-0000-0000-000050000000}"/>
    <cellStyle name="Note 3" xfId="45" xr:uid="{00000000-0005-0000-0000-000051000000}"/>
    <cellStyle name="Note 4" xfId="47" xr:uid="{00000000-0005-0000-0000-000052000000}"/>
    <cellStyle name="Output 2" xfId="39" xr:uid="{00000000-0005-0000-0000-000053000000}"/>
    <cellStyle name="Percent" xfId="43" builtinId="5"/>
    <cellStyle name="Title 2" xfId="40" xr:uid="{00000000-0005-0000-0000-000055000000}"/>
    <cellStyle name="Title 2 2" xfId="150" xr:uid="{AC84AFEA-0566-45DA-BA7E-0D964F64266B}"/>
    <cellStyle name="Total 2" xfId="41" xr:uid="{00000000-0005-0000-0000-000056000000}"/>
    <cellStyle name="Warning Text 2" xfId="42" xr:uid="{00000000-0005-0000-0000-000057000000}"/>
    <cellStyle name="הדגשה1" xfId="66" builtinId="29" customBuiltin="1"/>
    <cellStyle name="הדגשה1 2" xfId="110" xr:uid="{00000000-0005-0000-0000-000059000000}"/>
    <cellStyle name="הדגשה2" xfId="70" builtinId="33" customBuiltin="1"/>
    <cellStyle name="הדגשה2 2" xfId="114" xr:uid="{00000000-0005-0000-0000-00005B000000}"/>
    <cellStyle name="הדגשה3" xfId="74" builtinId="37" customBuiltin="1"/>
    <cellStyle name="הדגשה3 2" xfId="118" xr:uid="{00000000-0005-0000-0000-00005D000000}"/>
    <cellStyle name="הדגשה4" xfId="78" builtinId="41" customBuiltin="1"/>
    <cellStyle name="הדגשה4 2" xfId="122" xr:uid="{00000000-0005-0000-0000-00005F000000}"/>
    <cellStyle name="הדגשה5" xfId="82" builtinId="45" customBuiltin="1"/>
    <cellStyle name="הדגשה5 2" xfId="126" xr:uid="{00000000-0005-0000-0000-000061000000}"/>
    <cellStyle name="הדגשה6" xfId="86" builtinId="49" customBuiltin="1"/>
    <cellStyle name="הדגשה6 2" xfId="130" xr:uid="{00000000-0005-0000-0000-000063000000}"/>
    <cellStyle name="הערה" xfId="63" builtinId="10" customBuiltin="1"/>
    <cellStyle name="הערה 2" xfId="107" xr:uid="{00000000-0005-0000-0000-000065000000}"/>
    <cellStyle name="הערה 2 2" xfId="135" xr:uid="{8039C1F0-5D61-434E-B205-0AD585BC9157}"/>
    <cellStyle name="חישוב" xfId="59" builtinId="22" customBuiltin="1"/>
    <cellStyle name="חישוב 2" xfId="103" xr:uid="{00000000-0005-0000-0000-000067000000}"/>
    <cellStyle name="טוב" xfId="54" builtinId="26" customBuiltin="1"/>
    <cellStyle name="טוב 2" xfId="98" xr:uid="{00000000-0005-0000-0000-000069000000}"/>
    <cellStyle name="טקסט אזהרה" xfId="62" builtinId="11" customBuiltin="1"/>
    <cellStyle name="טקסט אזהרה 2" xfId="106" xr:uid="{00000000-0005-0000-0000-00006B000000}"/>
    <cellStyle name="טקסט הסברי" xfId="64" builtinId="53" customBuiltin="1"/>
    <cellStyle name="טקסט הסברי 2" xfId="108" xr:uid="{00000000-0005-0000-0000-00006D000000}"/>
    <cellStyle name="כותרת" xfId="49" builtinId="15" customBuiltin="1"/>
    <cellStyle name="כותרת 1" xfId="50" builtinId="16" customBuiltin="1"/>
    <cellStyle name="כותרת 1 2" xfId="94" xr:uid="{00000000-0005-0000-0000-000070000000}"/>
    <cellStyle name="כותרת 2" xfId="51" builtinId="17" customBuiltin="1"/>
    <cellStyle name="כותרת 2 2" xfId="95" xr:uid="{00000000-0005-0000-0000-000072000000}"/>
    <cellStyle name="כותרת 3" xfId="52" builtinId="18" customBuiltin="1"/>
    <cellStyle name="כותרת 3 2" xfId="96" xr:uid="{00000000-0005-0000-0000-000074000000}"/>
    <cellStyle name="כותרת 4" xfId="53" builtinId="19" customBuiltin="1"/>
    <cellStyle name="כותרת 4 2" xfId="97" xr:uid="{00000000-0005-0000-0000-000076000000}"/>
    <cellStyle name="כותרת 5" xfId="93" xr:uid="{00000000-0005-0000-0000-000077000000}"/>
    <cellStyle name="ניטראלי" xfId="56" builtinId="28" customBuiltin="1"/>
    <cellStyle name="ניטראלי 2" xfId="100" xr:uid="{00000000-0005-0000-0000-000079000000}"/>
    <cellStyle name="סה&quot;כ" xfId="65" builtinId="25" customBuiltin="1"/>
    <cellStyle name="סה&quot;כ 2" xfId="109" xr:uid="{00000000-0005-0000-0000-00007B000000}"/>
    <cellStyle name="פלט" xfId="58" builtinId="21" customBuiltin="1"/>
    <cellStyle name="פלט 2" xfId="102" xr:uid="{00000000-0005-0000-0000-00007D000000}"/>
    <cellStyle name="קלט" xfId="57" builtinId="20" customBuiltin="1"/>
    <cellStyle name="קלט 2" xfId="101" xr:uid="{00000000-0005-0000-0000-00007F000000}"/>
    <cellStyle name="רע" xfId="55" builtinId="27" customBuiltin="1"/>
    <cellStyle name="רע 2" xfId="99" xr:uid="{00000000-0005-0000-0000-000081000000}"/>
    <cellStyle name="תא מסומן" xfId="61" builtinId="23" customBuiltin="1"/>
    <cellStyle name="תא מסומן 2" xfId="105" xr:uid="{00000000-0005-0000-0000-000083000000}"/>
    <cellStyle name="תא מקושר" xfId="60" builtinId="24" customBuiltin="1"/>
    <cellStyle name="תא מקושר 2" xfId="104" xr:uid="{00000000-0005-0000-0000-000085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1</xdr:row>
      <xdr:rowOff>142875</xdr:rowOff>
    </xdr:from>
    <xdr:to>
      <xdr:col>28</xdr:col>
      <xdr:colOff>84100</xdr:colOff>
      <xdr:row>42</xdr:row>
      <xdr:rowOff>37186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16860700" y="323850"/>
          <a:ext cx="13009525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C1ECD7-8F52-4531-B963-FA00ECBF292E}">
  <we:reference id="wa104379220" version="6.0.0.0" store="he-IL" storeType="OMEX"/>
  <we:alternateReferences>
    <we:reference id="WA104379220" version="6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0"/>
  <sheetViews>
    <sheetView rightToLeft="1" topLeftCell="A6" workbookViewId="0">
      <selection activeCell="B10" sqref="B10"/>
    </sheetView>
  </sheetViews>
  <sheetFormatPr defaultRowHeight="15"/>
  <cols>
    <col min="1" max="1" width="15.140625" bestFit="1" customWidth="1"/>
    <col min="2" max="2" width="11.85546875" bestFit="1" customWidth="1"/>
  </cols>
  <sheetData>
    <row r="3" spans="1:6">
      <c r="A3" t="s">
        <v>10</v>
      </c>
      <c r="F3" t="s">
        <v>12</v>
      </c>
    </row>
    <row r="5" spans="1:6">
      <c r="A5" t="s">
        <v>11</v>
      </c>
      <c r="F5" t="s">
        <v>13</v>
      </c>
    </row>
    <row r="7" spans="1:6">
      <c r="A7" t="s">
        <v>62</v>
      </c>
      <c r="B7" t="s">
        <v>50</v>
      </c>
    </row>
    <row r="9" spans="1:6">
      <c r="A9" t="s">
        <v>64</v>
      </c>
      <c r="B9" s="9">
        <f ca="1">SUMIF(הכנסות!A4:G17,$B$7,הכנסות!G3:G17)</f>
        <v>115</v>
      </c>
    </row>
    <row r="10" spans="1:6">
      <c r="A10" t="s">
        <v>59</v>
      </c>
    </row>
  </sheetData>
  <dataValidations count="1">
    <dataValidation type="list" allowBlank="1" showInputMessage="1" showErrorMessage="1" sqref="B7" xr:uid="{00000000-0002-0000-0000-000000000000}">
      <formula1>חודש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rightToLeft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2" sqref="G22"/>
    </sheetView>
  </sheetViews>
  <sheetFormatPr defaultRowHeight="15"/>
  <cols>
    <col min="1" max="1" width="12.5703125" customWidth="1"/>
    <col min="2" max="2" width="15.42578125" bestFit="1" customWidth="1"/>
    <col min="3" max="3" width="13.7109375" bestFit="1" customWidth="1"/>
    <col min="4" max="4" width="13.85546875" bestFit="1" customWidth="1"/>
    <col min="5" max="5" width="13" customWidth="1"/>
    <col min="6" max="6" width="15.7109375" bestFit="1" customWidth="1"/>
    <col min="7" max="7" width="14.28515625" bestFit="1" customWidth="1"/>
    <col min="8" max="8" width="15.42578125" bestFit="1" customWidth="1"/>
    <col min="9" max="9" width="14.5703125" bestFit="1" customWidth="1"/>
    <col min="10" max="11" width="13.140625" bestFit="1" customWidth="1"/>
    <col min="12" max="13" width="12.28515625" bestFit="1" customWidth="1"/>
    <col min="14" max="14" width="14.28515625" bestFit="1" customWidth="1"/>
  </cols>
  <sheetData>
    <row r="1" spans="1:9">
      <c r="A1" s="44" t="s">
        <v>92</v>
      </c>
    </row>
    <row r="2" spans="1:9" ht="15.75" thickBot="1">
      <c r="A2" s="44"/>
    </row>
    <row r="3" spans="1:9">
      <c r="A3" s="176" t="s">
        <v>63</v>
      </c>
      <c r="B3" s="178" t="s">
        <v>40</v>
      </c>
      <c r="C3" s="178"/>
      <c r="D3" s="178"/>
      <c r="E3" s="178"/>
      <c r="F3" s="178"/>
      <c r="G3" s="179" t="s">
        <v>64</v>
      </c>
      <c r="H3" s="181" t="s">
        <v>93</v>
      </c>
      <c r="I3" s="183" t="s">
        <v>94</v>
      </c>
    </row>
    <row r="4" spans="1:9" ht="15.75" thickBot="1">
      <c r="A4" s="177"/>
      <c r="B4" s="80" t="s">
        <v>54</v>
      </c>
      <c r="C4" s="80" t="s">
        <v>16</v>
      </c>
      <c r="D4" s="80" t="s">
        <v>85</v>
      </c>
      <c r="E4" s="81" t="s">
        <v>27</v>
      </c>
      <c r="F4" s="80" t="s">
        <v>17</v>
      </c>
      <c r="G4" s="180"/>
      <c r="H4" s="182"/>
      <c r="I4" s="184"/>
    </row>
    <row r="5" spans="1:9">
      <c r="A5" s="41" t="s">
        <v>41</v>
      </c>
      <c r="B5" s="6">
        <f>20555.96+19835.64</f>
        <v>40391.599999999999</v>
      </c>
      <c r="C5" s="6">
        <v>220</v>
      </c>
      <c r="D5" s="4">
        <v>269</v>
      </c>
      <c r="E5" s="4"/>
      <c r="F5" s="4">
        <v>1000</v>
      </c>
      <c r="G5" s="46">
        <f>SUM(B5:F5)</f>
        <v>41880.6</v>
      </c>
      <c r="H5" s="82">
        <f ca="1">הוצאות!C78</f>
        <v>25054.09</v>
      </c>
      <c r="I5" s="5">
        <f ca="1">G5-H5</f>
        <v>16826.509999999998</v>
      </c>
    </row>
    <row r="6" spans="1:9">
      <c r="A6" s="40" t="s">
        <v>42</v>
      </c>
      <c r="B6" s="6">
        <f>13792.62+25182.08</f>
        <v>38974.700000000004</v>
      </c>
      <c r="C6" s="6">
        <f>422+266</f>
        <v>688</v>
      </c>
      <c r="D6" s="6">
        <v>269</v>
      </c>
      <c r="E6" s="6"/>
      <c r="F6" s="6">
        <v>1000</v>
      </c>
      <c r="G6" s="45">
        <f t="shared" ref="G6:G16" si="0">SUM(B6:F6)</f>
        <v>40931.700000000004</v>
      </c>
      <c r="H6" s="83">
        <f ca="1">הוצאות!D78</f>
        <v>56581.24</v>
      </c>
      <c r="I6" s="5">
        <f t="shared" ref="I6:I16" ca="1" si="1">G6-H6</f>
        <v>-15649.539999999994</v>
      </c>
    </row>
    <row r="7" spans="1:9">
      <c r="A7" s="40" t="s">
        <v>43</v>
      </c>
      <c r="B7" s="6">
        <f>33925.28+14791.47</f>
        <v>48716.75</v>
      </c>
      <c r="C7" s="6">
        <f>176+66</f>
        <v>242</v>
      </c>
      <c r="D7" s="6">
        <v>269</v>
      </c>
      <c r="E7" s="6"/>
      <c r="F7" s="6">
        <v>1000</v>
      </c>
      <c r="G7" s="45">
        <f t="shared" si="0"/>
        <v>50227.75</v>
      </c>
      <c r="H7" s="83">
        <f ca="1">הוצאות!E78</f>
        <v>26671.54</v>
      </c>
      <c r="I7" s="5">
        <f t="shared" ca="1" si="1"/>
        <v>23556.21</v>
      </c>
    </row>
    <row r="8" spans="1:9">
      <c r="A8" s="40" t="s">
        <v>44</v>
      </c>
      <c r="B8" s="6">
        <f>14111.7+19602.07</f>
        <v>33713.770000000004</v>
      </c>
      <c r="C8" s="6">
        <f>48+22</f>
        <v>70</v>
      </c>
      <c r="D8" s="6">
        <v>269</v>
      </c>
      <c r="E8" s="6"/>
      <c r="F8" s="6">
        <f>1000+2988</f>
        <v>3988</v>
      </c>
      <c r="G8" s="45">
        <f t="shared" si="0"/>
        <v>38040.770000000004</v>
      </c>
      <c r="H8" s="83">
        <f ca="1">הוצאות!F78</f>
        <v>17018.54</v>
      </c>
      <c r="I8" s="5">
        <f t="shared" ca="1" si="1"/>
        <v>21022.230000000003</v>
      </c>
    </row>
    <row r="9" spans="1:9">
      <c r="A9" s="40" t="s">
        <v>45</v>
      </c>
      <c r="B9" s="6">
        <f>14325.74+25804.21</f>
        <v>40129.949999999997</v>
      </c>
      <c r="C9" s="6">
        <f>1152+6218.57+5808</f>
        <v>13178.57</v>
      </c>
      <c r="D9" s="6">
        <v>269</v>
      </c>
      <c r="E9" s="6"/>
      <c r="F9" s="6">
        <v>1000</v>
      </c>
      <c r="G9" s="45">
        <f t="shared" si="0"/>
        <v>54577.52</v>
      </c>
      <c r="H9" s="83">
        <f ca="1">הוצאות!G78</f>
        <v>61784.350000000006</v>
      </c>
      <c r="I9" s="5">
        <f ca="1">G9-H9</f>
        <v>-7206.830000000009</v>
      </c>
    </row>
    <row r="10" spans="1:9">
      <c r="A10" s="40" t="s">
        <v>46</v>
      </c>
      <c r="B10" s="6">
        <f>14630.14+33927.2</f>
        <v>48557.34</v>
      </c>
      <c r="C10" s="6">
        <f>744+330</f>
        <v>1074</v>
      </c>
      <c r="D10" s="6">
        <v>115</v>
      </c>
      <c r="E10" s="6"/>
      <c r="F10" s="6">
        <f>1430+1439+1000+3670</f>
        <v>7539</v>
      </c>
      <c r="G10" s="45">
        <f t="shared" si="0"/>
        <v>57285.34</v>
      </c>
      <c r="H10" s="83">
        <f ca="1">הוצאות!H78</f>
        <v>58698.499999999993</v>
      </c>
      <c r="I10" s="5">
        <f t="shared" ca="1" si="1"/>
        <v>-1413.1599999999962</v>
      </c>
    </row>
    <row r="11" spans="1:9">
      <c r="A11" s="40" t="s">
        <v>47</v>
      </c>
      <c r="B11" s="6">
        <f>16789.01+38753.59</f>
        <v>55542.599999999991</v>
      </c>
      <c r="C11" s="6">
        <f>341+384</f>
        <v>725</v>
      </c>
      <c r="D11" s="6">
        <v>115</v>
      </c>
      <c r="E11" s="6"/>
      <c r="F11" s="6">
        <v>1000</v>
      </c>
      <c r="G11" s="45">
        <f t="shared" si="0"/>
        <v>57382.599999999991</v>
      </c>
      <c r="H11" s="83">
        <f ca="1">הוצאות!I78</f>
        <v>42550.64</v>
      </c>
      <c r="I11" s="5">
        <f t="shared" ca="1" si="1"/>
        <v>14831.959999999992</v>
      </c>
    </row>
    <row r="12" spans="1:9">
      <c r="A12" s="40" t="s">
        <v>49</v>
      </c>
      <c r="B12" s="6"/>
      <c r="C12" s="6"/>
      <c r="D12" s="6">
        <v>115</v>
      </c>
      <c r="E12" s="6"/>
      <c r="F12" s="6"/>
      <c r="G12" s="45">
        <f t="shared" si="0"/>
        <v>115</v>
      </c>
      <c r="H12" s="83">
        <f ca="1">הוצאות!J78</f>
        <v>4743.5200000000004</v>
      </c>
      <c r="I12" s="5">
        <f t="shared" ca="1" si="1"/>
        <v>-4628.5200000000004</v>
      </c>
    </row>
    <row r="13" spans="1:9">
      <c r="A13" s="40" t="s">
        <v>48</v>
      </c>
      <c r="B13" s="6"/>
      <c r="C13" s="6"/>
      <c r="D13" s="6">
        <v>115</v>
      </c>
      <c r="E13" s="6"/>
      <c r="F13" s="6"/>
      <c r="G13" s="45">
        <f t="shared" si="0"/>
        <v>115</v>
      </c>
      <c r="H13" s="83">
        <f ca="1">הוצאות!K78</f>
        <v>4700</v>
      </c>
      <c r="I13" s="5">
        <f t="shared" ca="1" si="1"/>
        <v>-4585</v>
      </c>
    </row>
    <row r="14" spans="1:9">
      <c r="A14" s="40" t="s">
        <v>50</v>
      </c>
      <c r="B14" s="6"/>
      <c r="C14" s="6"/>
      <c r="D14" s="6">
        <v>115</v>
      </c>
      <c r="E14" s="6"/>
      <c r="F14" s="6"/>
      <c r="G14" s="45">
        <f t="shared" si="0"/>
        <v>115</v>
      </c>
      <c r="H14" s="83">
        <f ca="1">הוצאות!L78</f>
        <v>3798.7599999999998</v>
      </c>
      <c r="I14" s="5">
        <f t="shared" ca="1" si="1"/>
        <v>-3683.7599999999998</v>
      </c>
    </row>
    <row r="15" spans="1:9">
      <c r="A15" s="40" t="s">
        <v>51</v>
      </c>
      <c r="B15" s="6"/>
      <c r="C15" s="6"/>
      <c r="D15" s="6">
        <v>115</v>
      </c>
      <c r="E15" s="6"/>
      <c r="F15" s="6"/>
      <c r="G15" s="45">
        <f t="shared" si="0"/>
        <v>115</v>
      </c>
      <c r="H15" s="83">
        <f ca="1">הוצאות!M78</f>
        <v>4700</v>
      </c>
      <c r="I15" s="5">
        <f ca="1">G15-H15</f>
        <v>-4585</v>
      </c>
    </row>
    <row r="16" spans="1:9" ht="15.75" thickBot="1">
      <c r="A16" s="42" t="s">
        <v>52</v>
      </c>
      <c r="B16" s="7"/>
      <c r="C16" s="7"/>
      <c r="D16" s="6">
        <v>115</v>
      </c>
      <c r="E16" s="7"/>
      <c r="F16" s="7"/>
      <c r="G16" s="19">
        <f t="shared" si="0"/>
        <v>115</v>
      </c>
      <c r="H16" s="84">
        <f ca="1">הוצאות!N78</f>
        <v>3812.73</v>
      </c>
      <c r="I16" s="5">
        <f t="shared" ca="1" si="1"/>
        <v>-3697.73</v>
      </c>
    </row>
    <row r="17" spans="1:10" ht="15.75" thickBot="1">
      <c r="A17" s="1" t="s">
        <v>53</v>
      </c>
      <c r="B17" s="47">
        <f t="shared" ref="B17:G17" si="2">SUM(B5:B16)</f>
        <v>306026.71000000002</v>
      </c>
      <c r="C17" s="47">
        <f t="shared" si="2"/>
        <v>16197.57</v>
      </c>
      <c r="D17" s="47">
        <f t="shared" si="2"/>
        <v>2150</v>
      </c>
      <c r="E17" s="47">
        <f t="shared" si="2"/>
        <v>0</v>
      </c>
      <c r="F17" s="47">
        <f t="shared" si="2"/>
        <v>16527</v>
      </c>
      <c r="G17" s="8">
        <f t="shared" si="2"/>
        <v>340901.27999999997</v>
      </c>
      <c r="H17" s="85">
        <f ca="1">SUM(H5:H16)</f>
        <v>310113.91000000003</v>
      </c>
      <c r="I17" s="43">
        <f ca="1">SUM(I5:I16)</f>
        <v>30787.369999999984</v>
      </c>
    </row>
    <row r="18" spans="1:10">
      <c r="J18" t="s">
        <v>514</v>
      </c>
    </row>
    <row r="19" spans="1:10">
      <c r="A19" s="86" t="s">
        <v>824</v>
      </c>
      <c r="H19" s="44" t="s">
        <v>825</v>
      </c>
    </row>
    <row r="20" spans="1:10" ht="15.75" thickBot="1"/>
    <row r="21" spans="1:10" ht="15.75" thickBot="1">
      <c r="A21" s="91" t="s">
        <v>491</v>
      </c>
      <c r="B21" s="39" t="s">
        <v>1364</v>
      </c>
      <c r="C21" s="39" t="s">
        <v>1365</v>
      </c>
      <c r="D21" s="39" t="s">
        <v>94</v>
      </c>
      <c r="E21" s="103" t="s">
        <v>1017</v>
      </c>
      <c r="H21" s="34" t="s">
        <v>822</v>
      </c>
      <c r="I21" s="92">
        <f>IF((C22+C23+C24)=0,0,C22-B22+C23-B23+C24-B24)</f>
        <v>0</v>
      </c>
    </row>
    <row r="22" spans="1:10">
      <c r="A22" s="34" t="s">
        <v>733</v>
      </c>
      <c r="B22" s="132">
        <v>901372</v>
      </c>
      <c r="C22" s="132">
        <f>IF(F22=0,0,F22-הוצאות!O77)</f>
        <v>0</v>
      </c>
      <c r="D22" s="132">
        <f>IF(C22&gt;0,C22-B22,0)</f>
        <v>0</v>
      </c>
      <c r="E22" s="133">
        <f>IF(C22=0,0,((C22/B22)-1))</f>
        <v>0</v>
      </c>
      <c r="F22" s="38"/>
      <c r="G22" s="126"/>
      <c r="H22" s="10" t="s">
        <v>64</v>
      </c>
      <c r="I22" s="88">
        <f>G17</f>
        <v>340901.27999999997</v>
      </c>
    </row>
    <row r="23" spans="1:10" ht="15.75" thickBot="1">
      <c r="A23" s="10" t="s">
        <v>734</v>
      </c>
      <c r="B23" s="87">
        <v>361259.51</v>
      </c>
      <c r="C23" s="87">
        <v>0</v>
      </c>
      <c r="D23" s="87">
        <f>IF(C23&gt;0,C23-B23,0)</f>
        <v>0</v>
      </c>
      <c r="E23" s="104">
        <f t="shared" ref="E23:E24" si="3">IF(C23=0,0,((C23/B23)-1))</f>
        <v>0</v>
      </c>
      <c r="F23" s="38"/>
      <c r="G23" s="126"/>
      <c r="H23" s="89" t="s">
        <v>821</v>
      </c>
      <c r="I23" s="93">
        <f>IF(I21*I22=0,0,I21/I22)</f>
        <v>0</v>
      </c>
    </row>
    <row r="24" spans="1:10" ht="15.75" thickBot="1">
      <c r="A24" s="89" t="s">
        <v>735</v>
      </c>
      <c r="B24" s="90">
        <v>711538.09</v>
      </c>
      <c r="C24" s="90">
        <f>IF(F24=0,0,F24-הוצאות!O75)</f>
        <v>0</v>
      </c>
      <c r="D24" s="90">
        <f>IF(C24&gt;0,C24-B24,0)</f>
        <v>0</v>
      </c>
      <c r="E24" s="134">
        <f t="shared" si="3"/>
        <v>0</v>
      </c>
      <c r="F24" s="38"/>
      <c r="G24" s="126"/>
    </row>
    <row r="25" spans="1:10">
      <c r="D25" s="78"/>
      <c r="H25" t="s">
        <v>514</v>
      </c>
    </row>
  </sheetData>
  <mergeCells count="5">
    <mergeCell ref="A3:A4"/>
    <mergeCell ref="B3:F3"/>
    <mergeCell ref="G3:G4"/>
    <mergeCell ref="H3:H4"/>
    <mergeCell ref="I3:I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Q113"/>
  <sheetViews>
    <sheetView rightToLeft="1" zoomScale="115" zoomScaleNormal="115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I68" sqref="I68"/>
    </sheetView>
  </sheetViews>
  <sheetFormatPr defaultRowHeight="15" outlineLevelRow="1"/>
  <cols>
    <col min="1" max="1" width="3.28515625" bestFit="1" customWidth="1"/>
    <col min="2" max="2" width="19.140625" bestFit="1" customWidth="1"/>
    <col min="3" max="6" width="13.140625" bestFit="1" customWidth="1"/>
    <col min="7" max="7" width="14.140625" bestFit="1" customWidth="1"/>
    <col min="8" max="8" width="13.140625" customWidth="1"/>
    <col min="9" max="9" width="13.140625" bestFit="1" customWidth="1"/>
    <col min="10" max="10" width="13.140625" customWidth="1"/>
    <col min="11" max="14" width="13.140625" bestFit="1" customWidth="1"/>
    <col min="15" max="15" width="14.28515625" bestFit="1" customWidth="1"/>
    <col min="17" max="17" width="9.42578125" bestFit="1" customWidth="1"/>
  </cols>
  <sheetData>
    <row r="1" spans="1:15" ht="15.75" thickBot="1">
      <c r="A1" s="13"/>
      <c r="B1" s="14" t="s">
        <v>37</v>
      </c>
      <c r="C1" s="1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49</v>
      </c>
      <c r="K1" s="2" t="s">
        <v>48</v>
      </c>
      <c r="L1" s="2" t="s">
        <v>50</v>
      </c>
      <c r="M1" s="2" t="s">
        <v>51</v>
      </c>
      <c r="N1" s="2" t="s">
        <v>52</v>
      </c>
      <c r="O1" s="3" t="s">
        <v>53</v>
      </c>
    </row>
    <row r="2" spans="1:15" hidden="1" outlineLevel="1">
      <c r="A2" s="185" t="s">
        <v>55</v>
      </c>
      <c r="B2" s="18" t="s">
        <v>23</v>
      </c>
      <c r="C2" s="132">
        <f ca="1">SUMIF('1'!$L:$M,הוצאות!$B2,'1'!$M:$M)</f>
        <v>0</v>
      </c>
      <c r="D2" s="132">
        <f ca="1">SUMIF('2'!$L:$M,הוצאות!$B2,'2'!$M:$M)</f>
        <v>1980.3999999999999</v>
      </c>
      <c r="E2" s="132">
        <f ca="1">SUMIF('3'!$L:$M,הוצאות!$B2,'3'!$M:$M)</f>
        <v>115</v>
      </c>
      <c r="F2" s="132">
        <f ca="1">SUMIF('4'!$L:$M,הוצאות!$B2,'4'!$M:$M)</f>
        <v>0</v>
      </c>
      <c r="G2" s="132">
        <f ca="1">SUMIF('5'!$L:$M,הוצאות!$B2,'5'!$M:$M)</f>
        <v>212.4</v>
      </c>
      <c r="H2" s="132">
        <f ca="1">SUMIF('6'!$L:$M,הוצאות!$B2,'6'!$M:$M)</f>
        <v>0</v>
      </c>
      <c r="I2" s="132">
        <f ca="1">SUMIF('7'!$L:$M,הוצאות!$B2,'7'!$M:$M)</f>
        <v>50</v>
      </c>
      <c r="J2" s="132">
        <f ca="1">SUMIF('8'!$L:$M,הוצאות!$B2,'8'!$M:$M)</f>
        <v>0</v>
      </c>
      <c r="K2" s="132">
        <f ca="1">SUMIF('9'!$L:$M,הוצאות!$B2,'9'!$M:$M)</f>
        <v>0</v>
      </c>
      <c r="L2" s="132">
        <f ca="1">SUMIF('10'!$L:$M,הוצאות!$B2,'10'!$M:$M)</f>
        <v>0</v>
      </c>
      <c r="M2" s="132">
        <f ca="1">SUMIF('11'!$L:$M,הוצאות!$B2,'11'!$M:$M)</f>
        <v>0</v>
      </c>
      <c r="N2" s="132">
        <f ca="1">SUMIF('12'!$L:$M,הוצאות!$B2,'12'!$M:$M)</f>
        <v>0</v>
      </c>
      <c r="O2" s="92">
        <f t="shared" ref="O2:O72" ca="1" si="0">SUM(C2:N2)</f>
        <v>2357.7999999999997</v>
      </c>
    </row>
    <row r="3" spans="1:15" hidden="1" outlineLevel="1">
      <c r="A3" s="186"/>
      <c r="B3" s="16" t="s">
        <v>27</v>
      </c>
      <c r="C3" s="163">
        <f ca="1">SUMIF('1'!$L:$M,הוצאות!$B3,'1'!$M:$M)</f>
        <v>553.75</v>
      </c>
      <c r="D3" s="163">
        <f ca="1">SUMIF('2'!$L:$M,הוצאות!$B3,'2'!$M:$M)</f>
        <v>711.4</v>
      </c>
      <c r="E3" s="163">
        <f ca="1">SUMIF('3'!$L:$M,הוצאות!$B3,'3'!$M:$M)</f>
        <v>998.23</v>
      </c>
      <c r="F3" s="163">
        <f ca="1">SUMIF('4'!$L:$M,הוצאות!$B3,'4'!$M:$M)</f>
        <v>1216.3400000000001</v>
      </c>
      <c r="G3" s="163">
        <f ca="1">SUMIF('5'!$L:$M,הוצאות!$B3,'5'!$M:$M)</f>
        <v>1220.0800000000002</v>
      </c>
      <c r="H3" s="163">
        <f ca="1">SUMIF('6'!$L:$M,הוצאות!$B3,'6'!$M:$M)</f>
        <v>697.03000000000009</v>
      </c>
      <c r="I3" s="163">
        <f ca="1">SUMIF('7'!$L:$M,הוצאות!$B3,'7'!$M:$M)</f>
        <v>732.46</v>
      </c>
      <c r="J3" s="163">
        <f ca="1">SUMIF('8'!$L:$M,הוצאות!$B3,'8'!$M:$M)</f>
        <v>0</v>
      </c>
      <c r="K3" s="163">
        <f ca="1">SUMIF('9'!$L:$M,הוצאות!$B3,'9'!$M:$M)</f>
        <v>0</v>
      </c>
      <c r="L3" s="163">
        <f ca="1">SUMIF('10'!$L:$M,הוצאות!$B3,'10'!$M:$M)</f>
        <v>0</v>
      </c>
      <c r="M3" s="163">
        <f ca="1">SUMIF('11'!$L:$M,הוצאות!$B3,'11'!$M:$M)</f>
        <v>0</v>
      </c>
      <c r="N3" s="163">
        <f ca="1">SUMIF('12'!$L:$M,הוצאות!$B3,'12'!$M:$M)</f>
        <v>0</v>
      </c>
      <c r="O3" s="88">
        <f t="shared" ca="1" si="0"/>
        <v>6129.29</v>
      </c>
    </row>
    <row r="4" spans="1:15" hidden="1" outlineLevel="1">
      <c r="A4" s="186"/>
      <c r="B4" s="16" t="s">
        <v>19</v>
      </c>
      <c r="C4" s="163">
        <f ca="1">SUMIF('1'!$L:$M,הוצאות!$B4,'1'!$M:$M)</f>
        <v>70</v>
      </c>
      <c r="D4" s="163">
        <f ca="1">SUMIF('2'!$L:$M,הוצאות!$B4,'2'!$M:$M)</f>
        <v>861</v>
      </c>
      <c r="E4" s="163">
        <f ca="1">SUMIF('3'!$L:$M,הוצאות!$B4,'3'!$M:$M)</f>
        <v>272</v>
      </c>
      <c r="F4" s="163">
        <f ca="1">SUMIF('4'!$L:$M,הוצאות!$B4,'4'!$M:$M)</f>
        <v>49</v>
      </c>
      <c r="G4" s="163">
        <f ca="1">SUMIF('5'!$L:$M,הוצאות!$B4,'5'!$M:$M)</f>
        <v>0</v>
      </c>
      <c r="H4" s="163">
        <f ca="1">SUMIF('6'!$L:$M,הוצאות!$B4,'6'!$M:$M)</f>
        <v>1135</v>
      </c>
      <c r="I4" s="163">
        <f ca="1">SUMIF('7'!$L:$M,הוצאות!$B4,'7'!$M:$M)</f>
        <v>141.4</v>
      </c>
      <c r="J4" s="163">
        <f ca="1">SUMIF('8'!$L:$M,הוצאות!$B4,'8'!$M:$M)</f>
        <v>0</v>
      </c>
      <c r="K4" s="163">
        <f ca="1">SUMIF('9'!$L:$M,הוצאות!$B4,'9'!$M:$M)</f>
        <v>0</v>
      </c>
      <c r="L4" s="163">
        <f ca="1">SUMIF('10'!$L:$M,הוצאות!$B4,'10'!$M:$M)</f>
        <v>0</v>
      </c>
      <c r="M4" s="163">
        <f ca="1">SUMIF('11'!$L:$M,הוצאות!$B4,'11'!$M:$M)</f>
        <v>0</v>
      </c>
      <c r="N4" s="163">
        <f ca="1">SUMIF('12'!$L:$M,הוצאות!$B4,'12'!$M:$M)</f>
        <v>0</v>
      </c>
      <c r="O4" s="88">
        <f t="shared" ca="1" si="0"/>
        <v>2528.4</v>
      </c>
    </row>
    <row r="5" spans="1:15" hidden="1" outlineLevel="1">
      <c r="A5" s="186"/>
      <c r="B5" s="16" t="s">
        <v>26</v>
      </c>
      <c r="C5" s="163">
        <f ca="1">SUMIF('1'!$L:$M,הוצאות!$B5,'1'!$M:$M)</f>
        <v>946.49</v>
      </c>
      <c r="D5" s="163">
        <f ca="1">SUMIF('2'!$L:$M,הוצאות!$B5,'2'!$M:$M)</f>
        <v>622.36</v>
      </c>
      <c r="E5" s="163">
        <f ca="1">SUMIF('3'!$L:$M,הוצאות!$B5,'3'!$M:$M)</f>
        <v>1053.6199999999999</v>
      </c>
      <c r="F5" s="163">
        <f ca="1">SUMIF('4'!$L:$M,הוצאות!$B5,'4'!$M:$M)</f>
        <v>524.31999999999994</v>
      </c>
      <c r="G5" s="163">
        <f ca="1">SUMIF('5'!$L:$M,הוצאות!$B5,'5'!$M:$M)</f>
        <v>486.5</v>
      </c>
      <c r="H5" s="163">
        <f ca="1">SUMIF('6'!$L:$M,הוצאות!$B5,'6'!$M:$M)</f>
        <v>603.36</v>
      </c>
      <c r="I5" s="163">
        <f ca="1">SUMIF('7'!$L:$M,הוצאות!$B5,'7'!$M:$M)</f>
        <v>997.33</v>
      </c>
      <c r="J5" s="163">
        <f ca="1">SUMIF('8'!$L:$M,הוצאות!$B5,'8'!$M:$M)</f>
        <v>0</v>
      </c>
      <c r="K5" s="163">
        <f ca="1">SUMIF('9'!$L:$M,הוצאות!$B5,'9'!$M:$M)</f>
        <v>0</v>
      </c>
      <c r="L5" s="163">
        <f ca="1">SUMIF('10'!$L:$M,הוצאות!$B5,'10'!$M:$M)</f>
        <v>0</v>
      </c>
      <c r="M5" s="163">
        <f ca="1">SUMIF('11'!$L:$M,הוצאות!$B5,'11'!$M:$M)</f>
        <v>0</v>
      </c>
      <c r="N5" s="163">
        <f ca="1">SUMIF('12'!$L:$M,הוצאות!$B5,'12'!$M:$M)</f>
        <v>0</v>
      </c>
      <c r="O5" s="88">
        <f t="shared" ca="1" si="0"/>
        <v>5233.9799999999996</v>
      </c>
    </row>
    <row r="6" spans="1:15" hidden="1" outlineLevel="1">
      <c r="A6" s="186"/>
      <c r="B6" s="16" t="s">
        <v>34</v>
      </c>
      <c r="C6" s="163">
        <f ca="1">SUMIF('1'!$L:$M,הוצאות!$B6,'1'!$M:$M)</f>
        <v>750</v>
      </c>
      <c r="D6" s="163">
        <f ca="1">SUMIF('2'!$L:$M,הוצאות!$B6,'2'!$M:$M)</f>
        <v>746</v>
      </c>
      <c r="E6" s="163">
        <f ca="1">SUMIF('3'!$L:$M,הוצאות!$B6,'3'!$M:$M)</f>
        <v>746</v>
      </c>
      <c r="F6" s="163">
        <f ca="1">SUMIF('4'!$L:$M,הוצאות!$B6,'4'!$M:$M)</f>
        <v>746</v>
      </c>
      <c r="G6" s="163">
        <f ca="1">SUMIF('5'!$L:$M,הוצאות!$B6,'5'!$M:$M)</f>
        <v>0</v>
      </c>
      <c r="H6" s="163">
        <f ca="1">SUMIF('6'!$L:$M,הוצאות!$B6,'6'!$M:$M)</f>
        <v>0</v>
      </c>
      <c r="I6" s="163">
        <f ca="1">SUMIF('7'!$L:$M,הוצאות!$B6,'7'!$M:$M)</f>
        <v>0</v>
      </c>
      <c r="J6" s="163">
        <f ca="1">SUMIF('8'!$L:$M,הוצאות!$B6,'8'!$M:$M)</f>
        <v>0</v>
      </c>
      <c r="K6" s="163">
        <f ca="1">SUMIF('9'!$L:$M,הוצאות!$B6,'9'!$M:$M)</f>
        <v>0</v>
      </c>
      <c r="L6" s="163">
        <f ca="1">SUMIF('10'!$L:$M,הוצאות!$B6,'10'!$M:$M)</f>
        <v>0</v>
      </c>
      <c r="M6" s="163">
        <f ca="1">SUMIF('11'!$L:$M,הוצאות!$B6,'11'!$M:$M)</f>
        <v>0</v>
      </c>
      <c r="N6" s="163">
        <f ca="1">SUMIF('12'!$L:$M,הוצאות!$B6,'12'!$M:$M)</f>
        <v>0</v>
      </c>
      <c r="O6" s="88">
        <f t="shared" ca="1" si="0"/>
        <v>2988</v>
      </c>
    </row>
    <row r="7" spans="1:15" hidden="1" outlineLevel="1">
      <c r="A7" s="186"/>
      <c r="B7" s="16" t="s">
        <v>24</v>
      </c>
      <c r="C7" s="163">
        <f ca="1">SUMIF('1'!$L:$M,הוצאות!$B7,'1'!$M:$M)</f>
        <v>413.41</v>
      </c>
      <c r="D7" s="163">
        <f ca="1">SUMIF('2'!$L:$M,הוצאות!$B7,'2'!$M:$M)</f>
        <v>862.43</v>
      </c>
      <c r="E7" s="163">
        <f ca="1">SUMIF('3'!$L:$M,הוצאות!$B7,'3'!$M:$M)</f>
        <v>674.51</v>
      </c>
      <c r="F7" s="163">
        <f ca="1">SUMIF('4'!$L:$M,הוצאות!$B7,'4'!$M:$M)</f>
        <v>549.65</v>
      </c>
      <c r="G7" s="163">
        <f ca="1">SUMIF('5'!$L:$M,הוצאות!$B7,'5'!$M:$M)</f>
        <v>265.42</v>
      </c>
      <c r="H7" s="163">
        <f ca="1">SUMIF('6'!$L:$M,הוצאות!$B7,'6'!$M:$M)</f>
        <v>1641.86</v>
      </c>
      <c r="I7" s="163">
        <f ca="1">SUMIF('7'!$L:$M,הוצאות!$B7,'7'!$M:$M)</f>
        <v>493.64</v>
      </c>
      <c r="J7" s="163">
        <f ca="1">SUMIF('8'!$L:$M,הוצאות!$B7,'8'!$M:$M)</f>
        <v>0</v>
      </c>
      <c r="K7" s="163">
        <f ca="1">SUMIF('9'!$L:$M,הוצאות!$B7,'9'!$M:$M)</f>
        <v>0</v>
      </c>
      <c r="L7" s="163">
        <f ca="1">SUMIF('10'!$L:$M,הוצאות!$B7,'10'!$M:$M)</f>
        <v>0</v>
      </c>
      <c r="M7" s="163">
        <f ca="1">SUMIF('11'!$L:$M,הוצאות!$B7,'11'!$M:$M)</f>
        <v>0</v>
      </c>
      <c r="N7" s="163">
        <f ca="1">SUMIF('12'!$L:$M,הוצאות!$B7,'12'!$M:$M)</f>
        <v>0</v>
      </c>
      <c r="O7" s="88">
        <f t="shared" ca="1" si="0"/>
        <v>4900.92</v>
      </c>
    </row>
    <row r="8" spans="1:15" hidden="1" outlineLevel="1">
      <c r="A8" s="186"/>
      <c r="B8" s="16" t="s">
        <v>29</v>
      </c>
      <c r="C8" s="163">
        <f ca="1">SUMIF('1'!$L:$M,הוצאות!$B8,'1'!$M:$M)</f>
        <v>0</v>
      </c>
      <c r="D8" s="163">
        <f ca="1">SUMIF('2'!$L:$M,הוצאות!$B8,'2'!$M:$M)</f>
        <v>0</v>
      </c>
      <c r="E8" s="163">
        <f ca="1">SUMIF('3'!$L:$M,הוצאות!$B8,'3'!$M:$M)</f>
        <v>0</v>
      </c>
      <c r="F8" s="163">
        <f ca="1">SUMIF('4'!$L:$M,הוצאות!$B8,'4'!$M:$M)</f>
        <v>0</v>
      </c>
      <c r="G8" s="163">
        <f ca="1">SUMIF('5'!$L:$M,הוצאות!$B8,'5'!$M:$M)</f>
        <v>0</v>
      </c>
      <c r="H8" s="163">
        <f ca="1">SUMIF('6'!$L:$M,הוצאות!$B8,'6'!$M:$M)</f>
        <v>0</v>
      </c>
      <c r="I8" s="163">
        <f ca="1">SUMIF('7'!$L:$M,הוצאות!$B8,'7'!$M:$M)</f>
        <v>0</v>
      </c>
      <c r="J8" s="163">
        <f ca="1">SUMIF('8'!$L:$M,הוצאות!$B8,'8'!$M:$M)</f>
        <v>0</v>
      </c>
      <c r="K8" s="163">
        <f ca="1">SUMIF('9'!$L:$M,הוצאות!$B8,'9'!$M:$M)</f>
        <v>0</v>
      </c>
      <c r="L8" s="163">
        <f ca="1">SUMIF('10'!$L:$M,הוצאות!$B8,'10'!$M:$M)</f>
        <v>0</v>
      </c>
      <c r="M8" s="163">
        <f ca="1">SUMIF('11'!$L:$M,הוצאות!$B8,'11'!$M:$M)</f>
        <v>0</v>
      </c>
      <c r="N8" s="163">
        <f ca="1">SUMIF('12'!$L:$M,הוצאות!$B8,'12'!$M:$M)</f>
        <v>0</v>
      </c>
      <c r="O8" s="88">
        <f t="shared" ca="1" si="0"/>
        <v>0</v>
      </c>
    </row>
    <row r="9" spans="1:15" hidden="1" outlineLevel="1">
      <c r="A9" s="186"/>
      <c r="B9" s="16" t="s">
        <v>35</v>
      </c>
      <c r="C9" s="163">
        <f ca="1">SUMIF('1'!$L:$M,הוצאות!$B9,'1'!$M:$M)</f>
        <v>1655</v>
      </c>
      <c r="D9" s="163">
        <f ca="1">SUMIF('2'!$L:$M,הוצאות!$B9,'2'!$M:$M)</f>
        <v>1975</v>
      </c>
      <c r="E9" s="163">
        <f ca="1">SUMIF('3'!$L:$M,הוצאות!$B9,'3'!$M:$M)</f>
        <v>2665</v>
      </c>
      <c r="F9" s="163">
        <f ca="1">SUMIF('4'!$L:$M,הוצאות!$B9,'4'!$M:$M)</f>
        <v>880</v>
      </c>
      <c r="G9" s="163">
        <f ca="1">SUMIF('5'!$L:$M,הוצאות!$B9,'5'!$M:$M)</f>
        <v>8891</v>
      </c>
      <c r="H9" s="163">
        <f ca="1">SUMIF('6'!$L:$M,הוצאות!$B9,'6'!$M:$M)</f>
        <v>1310</v>
      </c>
      <c r="I9" s="163">
        <f ca="1">SUMIF('7'!$L:$M,הוצאות!$B9,'7'!$M:$M)</f>
        <v>870</v>
      </c>
      <c r="J9" s="163">
        <f ca="1">SUMIF('8'!$L:$M,הוצאות!$B9,'8'!$M:$M)</f>
        <v>0</v>
      </c>
      <c r="K9" s="163">
        <f ca="1">SUMIF('9'!$L:$M,הוצאות!$B9,'9'!$M:$M)</f>
        <v>0</v>
      </c>
      <c r="L9" s="163">
        <f ca="1">SUMIF('10'!$L:$M,הוצאות!$B9,'10'!$M:$M)</f>
        <v>0</v>
      </c>
      <c r="M9" s="163">
        <f ca="1">SUMIF('11'!$L:$M,הוצאות!$B9,'11'!$M:$M)</f>
        <v>0</v>
      </c>
      <c r="N9" s="163">
        <f ca="1">SUMIF('12'!$L:$M,הוצאות!$B9,'12'!$M:$M)</f>
        <v>0</v>
      </c>
      <c r="O9" s="88">
        <f t="shared" ca="1" si="0"/>
        <v>18246</v>
      </c>
    </row>
    <row r="10" spans="1:15" hidden="1" outlineLevel="1">
      <c r="A10" s="186"/>
      <c r="B10" s="16" t="s">
        <v>20</v>
      </c>
      <c r="C10" s="163">
        <f ca="1">SUMIF('1'!$L:$M,הוצאות!$B10,'1'!$M:$M)</f>
        <v>0</v>
      </c>
      <c r="D10" s="163">
        <f ca="1">SUMIF('2'!$L:$M,הוצאות!$B10,'2'!$M:$M)</f>
        <v>5250</v>
      </c>
      <c r="E10" s="163">
        <f ca="1">SUMIF('3'!$L:$M,הוצאות!$B10,'3'!$M:$M)</f>
        <v>5250</v>
      </c>
      <c r="F10" s="163">
        <f ca="1">SUMIF('4'!$L:$M,הוצאות!$B10,'4'!$M:$M)</f>
        <v>0</v>
      </c>
      <c r="G10" s="163">
        <f ca="1">SUMIF('5'!$L:$M,הוצאות!$B10,'5'!$M:$M)</f>
        <v>0</v>
      </c>
      <c r="H10" s="163">
        <f ca="1">SUMIF('6'!$L:$M,הוצאות!$B10,'6'!$M:$M)</f>
        <v>0</v>
      </c>
      <c r="I10" s="163">
        <f ca="1">SUMIF('7'!$L:$M,הוצאות!$B10,'7'!$M:$M)</f>
        <v>0</v>
      </c>
      <c r="J10" s="163">
        <f ca="1">SUMIF('8'!$L:$M,הוצאות!$B10,'8'!$M:$M)</f>
        <v>0</v>
      </c>
      <c r="K10" s="163">
        <f ca="1">SUMIF('9'!$L:$M,הוצאות!$B10,'9'!$M:$M)</f>
        <v>0</v>
      </c>
      <c r="L10" s="163">
        <f ca="1">SUMIF('10'!$L:$M,הוצאות!$B10,'10'!$M:$M)</f>
        <v>0</v>
      </c>
      <c r="M10" s="163">
        <f ca="1">SUMIF('11'!$L:$M,הוצאות!$B10,'11'!$M:$M)</f>
        <v>0</v>
      </c>
      <c r="N10" s="163">
        <f ca="1">SUMIF('12'!$L:$M,הוצאות!$B10,'12'!$M:$M)</f>
        <v>0</v>
      </c>
      <c r="O10" s="88">
        <f t="shared" ca="1" si="0"/>
        <v>10500</v>
      </c>
    </row>
    <row r="11" spans="1:15" hidden="1" outlineLevel="1">
      <c r="A11" s="186"/>
      <c r="B11" s="16" t="s">
        <v>75</v>
      </c>
      <c r="C11" s="163">
        <f ca="1">SUMIF('1'!$L:$M,הוצאות!$B11,'1'!$M:$M)</f>
        <v>0</v>
      </c>
      <c r="D11" s="163">
        <f ca="1">SUMIF('2'!$L:$M,הוצאות!$B11,'2'!$M:$M)</f>
        <v>0</v>
      </c>
      <c r="E11" s="163">
        <f ca="1">SUMIF('3'!$L:$M,הוצאות!$B11,'3'!$M:$M)</f>
        <v>0</v>
      </c>
      <c r="F11" s="163">
        <f ca="1">SUMIF('4'!$L:$M,הוצאות!$B11,'4'!$M:$M)</f>
        <v>0</v>
      </c>
      <c r="G11" s="163">
        <f ca="1">SUMIF('5'!$L:$M,הוצאות!$B11,'5'!$M:$M)</f>
        <v>0</v>
      </c>
      <c r="H11" s="163">
        <f ca="1">SUMIF('6'!$L:$M,הוצאות!$B11,'6'!$M:$M)</f>
        <v>0</v>
      </c>
      <c r="I11" s="163">
        <f ca="1">SUMIF('7'!$L:$M,הוצאות!$B11,'7'!$M:$M)</f>
        <v>0</v>
      </c>
      <c r="J11" s="163">
        <f ca="1">SUMIF('8'!$L:$M,הוצאות!$B11,'8'!$M:$M)</f>
        <v>0</v>
      </c>
      <c r="K11" s="163">
        <f ca="1">SUMIF('9'!$L:$M,הוצאות!$B11,'9'!$M:$M)</f>
        <v>0</v>
      </c>
      <c r="L11" s="163">
        <f ca="1">SUMIF('10'!$L:$M,הוצאות!$B11,'10'!$M:$M)</f>
        <v>0</v>
      </c>
      <c r="M11" s="163">
        <f ca="1">SUMIF('11'!$L:$M,הוצאות!$B11,'11'!$M:$M)</f>
        <v>0</v>
      </c>
      <c r="N11" s="163">
        <f ca="1">SUMIF('12'!$L:$M,הוצאות!$B11,'12'!$M:$M)</f>
        <v>0</v>
      </c>
      <c r="O11" s="88">
        <f t="shared" ca="1" si="0"/>
        <v>0</v>
      </c>
    </row>
    <row r="12" spans="1:15" hidden="1" outlineLevel="1">
      <c r="A12" s="186"/>
      <c r="B12" s="16" t="s">
        <v>39</v>
      </c>
      <c r="C12" s="163">
        <f ca="1">SUMIF('1'!$L:$M,הוצאות!$B12,'1'!$M:$M)</f>
        <v>0</v>
      </c>
      <c r="D12" s="163">
        <f ca="1">SUMIF('2'!$L:$M,הוצאות!$B12,'2'!$M:$M)</f>
        <v>0</v>
      </c>
      <c r="E12" s="163">
        <f ca="1">SUMIF('3'!$L:$M,הוצאות!$B12,'3'!$M:$M)</f>
        <v>658.77</v>
      </c>
      <c r="F12" s="163">
        <f ca="1">SUMIF('4'!$L:$M,הוצאות!$B12,'4'!$M:$M)</f>
        <v>65</v>
      </c>
      <c r="G12" s="163">
        <f ca="1">SUMIF('5'!$L:$M,הוצאות!$B12,'5'!$M:$M)</f>
        <v>1169.9000000000001</v>
      </c>
      <c r="H12" s="163">
        <f ca="1">SUMIF('6'!$L:$M,הוצאות!$B12,'6'!$M:$M)</f>
        <v>799.9</v>
      </c>
      <c r="I12" s="163">
        <f ca="1">SUMIF('7'!$L:$M,הוצאות!$B12,'7'!$M:$M)</f>
        <v>210</v>
      </c>
      <c r="J12" s="163">
        <f ca="1">SUMIF('8'!$L:$M,הוצאות!$B12,'8'!$M:$M)</f>
        <v>0</v>
      </c>
      <c r="K12" s="163">
        <f ca="1">SUMIF('9'!$L:$M,הוצאות!$B12,'9'!$M:$M)</f>
        <v>0</v>
      </c>
      <c r="L12" s="163">
        <f ca="1">SUMIF('10'!$L:$M,הוצאות!$B12,'10'!$M:$M)</f>
        <v>0</v>
      </c>
      <c r="M12" s="163">
        <f ca="1">SUMIF('11'!$L:$M,הוצאות!$B12,'11'!$M:$M)</f>
        <v>0</v>
      </c>
      <c r="N12" s="163">
        <f ca="1">SUMIF('12'!$L:$M,הוצאות!$B12,'12'!$M:$M)</f>
        <v>0</v>
      </c>
      <c r="O12" s="88">
        <f t="shared" ca="1" si="0"/>
        <v>2903.57</v>
      </c>
    </row>
    <row r="13" spans="1:15" hidden="1" outlineLevel="1">
      <c r="A13" s="186"/>
      <c r="B13" s="16" t="s">
        <v>25</v>
      </c>
      <c r="C13" s="163">
        <f ca="1">SUMIF('1'!$L:$M,הוצאות!$B13,'1'!$M:$M)</f>
        <v>1660.7699999999998</v>
      </c>
      <c r="D13" s="163">
        <f ca="1">SUMIF('2'!$L:$M,הוצאות!$B13,'2'!$M:$M)</f>
        <v>392.1</v>
      </c>
      <c r="E13" s="163">
        <f ca="1">SUMIF('3'!$L:$M,הוצאות!$B13,'3'!$M:$M)</f>
        <v>1527.4599999999998</v>
      </c>
      <c r="F13" s="163">
        <f ca="1">SUMIF('4'!$L:$M,הוצאות!$B13,'4'!$M:$M)</f>
        <v>566.43999999999994</v>
      </c>
      <c r="G13" s="163">
        <f ca="1">SUMIF('5'!$L:$M,הוצאות!$B13,'5'!$M:$M)</f>
        <v>404.12</v>
      </c>
      <c r="H13" s="163">
        <f ca="1">SUMIF('6'!$L:$M,הוצאות!$B13,'6'!$M:$M)</f>
        <v>1671.3</v>
      </c>
      <c r="I13" s="163">
        <f ca="1">SUMIF('7'!$L:$M,הוצאות!$B13,'7'!$M:$M)</f>
        <v>1003.9300000000001</v>
      </c>
      <c r="J13" s="163">
        <f ca="1">SUMIF('8'!$L:$M,הוצאות!$B13,'8'!$M:$M)</f>
        <v>0</v>
      </c>
      <c r="K13" s="163">
        <f ca="1">SUMIF('9'!$L:$M,הוצאות!$B13,'9'!$M:$M)</f>
        <v>0</v>
      </c>
      <c r="L13" s="163">
        <f ca="1">SUMIF('10'!$L:$M,הוצאות!$B13,'10'!$M:$M)</f>
        <v>0</v>
      </c>
      <c r="M13" s="163">
        <f ca="1">SUMIF('11'!$L:$M,הוצאות!$B13,'11'!$M:$M)</f>
        <v>0</v>
      </c>
      <c r="N13" s="163">
        <f ca="1">SUMIF('12'!$L:$M,הוצאות!$B13,'12'!$M:$M)</f>
        <v>0</v>
      </c>
      <c r="O13" s="88">
        <f t="shared" ca="1" si="0"/>
        <v>7226.12</v>
      </c>
    </row>
    <row r="14" spans="1:15" hidden="1" outlineLevel="1">
      <c r="A14" s="186"/>
      <c r="B14" s="16" t="s">
        <v>31</v>
      </c>
      <c r="C14" s="163">
        <f ca="1">SUMIF('1'!$L:$M,הוצאות!$B14,'1'!$M:$M)</f>
        <v>0</v>
      </c>
      <c r="D14" s="163">
        <f ca="1">SUMIF('2'!$L:$M,הוצאות!$B14,'2'!$M:$M)</f>
        <v>0</v>
      </c>
      <c r="E14" s="163">
        <f ca="1">SUMIF('3'!$L:$M,הוצאות!$B14,'3'!$M:$M)</f>
        <v>0</v>
      </c>
      <c r="F14" s="163">
        <f ca="1">SUMIF('4'!$L:$M,הוצאות!$B14,'4'!$M:$M)</f>
        <v>0</v>
      </c>
      <c r="G14" s="163">
        <f ca="1">SUMIF('5'!$L:$M,הוצאות!$B14,'5'!$M:$M)</f>
        <v>0</v>
      </c>
      <c r="H14" s="163">
        <f ca="1">SUMIF('6'!$L:$M,הוצאות!$B14,'6'!$M:$M)</f>
        <v>0</v>
      </c>
      <c r="I14" s="163">
        <f ca="1">SUMIF('7'!$L:$M,הוצאות!$B14,'7'!$M:$M)</f>
        <v>0</v>
      </c>
      <c r="J14" s="163">
        <f ca="1">SUMIF('8'!$L:$M,הוצאות!$B14,'8'!$M:$M)</f>
        <v>0</v>
      </c>
      <c r="K14" s="163">
        <f ca="1">SUMIF('9'!$L:$M,הוצאות!$B14,'9'!$M:$M)</f>
        <v>0</v>
      </c>
      <c r="L14" s="163">
        <f ca="1">SUMIF('10'!$L:$M,הוצאות!$B14,'10'!$M:$M)</f>
        <v>0</v>
      </c>
      <c r="M14" s="163">
        <f ca="1">SUMIF('11'!$L:$M,הוצאות!$B14,'11'!$M:$M)</f>
        <v>0</v>
      </c>
      <c r="N14" s="163">
        <f ca="1">SUMIF('12'!$L:$M,הוצאות!$B14,'12'!$M:$M)</f>
        <v>0</v>
      </c>
      <c r="O14" s="88">
        <f t="shared" ca="1" si="0"/>
        <v>0</v>
      </c>
    </row>
    <row r="15" spans="1:15" hidden="1" outlineLevel="1">
      <c r="A15" s="186"/>
      <c r="B15" s="16" t="s">
        <v>22</v>
      </c>
      <c r="C15" s="163">
        <f ca="1">SUMIF('1'!$L:$M,הוצאות!$B15,'1'!$M:$M)</f>
        <v>5448.09</v>
      </c>
      <c r="D15" s="163">
        <f ca="1">SUMIF('2'!$L:$M,הוצאות!$B15,'2'!$M:$M)</f>
        <v>5381.6000000000013</v>
      </c>
      <c r="E15" s="163">
        <f ca="1">SUMIF('3'!$L:$M,הוצאות!$B15,'3'!$M:$M)</f>
        <v>5415.8100000000013</v>
      </c>
      <c r="F15" s="163">
        <f ca="1">SUMIF('4'!$L:$M,הוצאות!$B15,'4'!$M:$M)</f>
        <v>5895.1800000000012</v>
      </c>
      <c r="G15" s="163">
        <f ca="1">SUMIF('5'!$L:$M,הוצאות!$B15,'5'!$M:$M)</f>
        <v>3378.0000000000005</v>
      </c>
      <c r="H15" s="163">
        <f ca="1">SUMIF('6'!$L:$M,הוצאות!$B15,'6'!$M:$M)</f>
        <v>4717.0699999999988</v>
      </c>
      <c r="I15" s="163">
        <f ca="1">SUMIF('7'!$L:$M,הוצאות!$B15,'7'!$M:$M)</f>
        <v>5208.1900000000005</v>
      </c>
      <c r="J15" s="163">
        <f ca="1">SUMIF('8'!$L:$M,הוצאות!$B15,'8'!$M:$M)</f>
        <v>0</v>
      </c>
      <c r="K15" s="163">
        <f ca="1">SUMIF('9'!$L:$M,הוצאות!$B15,'9'!$M:$M)</f>
        <v>0</v>
      </c>
      <c r="L15" s="163">
        <f ca="1">SUMIF('10'!$L:$M,הוצאות!$B15,'10'!$M:$M)</f>
        <v>0</v>
      </c>
      <c r="M15" s="163">
        <f ca="1">SUMIF('11'!$L:$M,הוצאות!$B15,'11'!$M:$M)</f>
        <v>0</v>
      </c>
      <c r="N15" s="163">
        <f ca="1">SUMIF('12'!$L:$M,הוצאות!$B15,'12'!$M:$M)</f>
        <v>0</v>
      </c>
      <c r="O15" s="88">
        <f t="shared" ca="1" si="0"/>
        <v>35443.94</v>
      </c>
    </row>
    <row r="16" spans="1:15" hidden="1" outlineLevel="1">
      <c r="A16" s="186"/>
      <c r="B16" s="16" t="s">
        <v>33</v>
      </c>
      <c r="C16" s="163">
        <f ca="1">SUMIF('1'!$L:$M,הוצאות!$B16,'1'!$M:$M)</f>
        <v>0</v>
      </c>
      <c r="D16" s="163">
        <f ca="1">SUMIF('2'!$L:$M,הוצאות!$B16,'2'!$M:$M)</f>
        <v>0</v>
      </c>
      <c r="E16" s="163">
        <f ca="1">SUMIF('3'!$L:$M,הוצאות!$B16,'3'!$M:$M)</f>
        <v>0</v>
      </c>
      <c r="F16" s="163">
        <f ca="1">SUMIF('4'!$L:$M,הוצאות!$B16,'4'!$M:$M)</f>
        <v>0</v>
      </c>
      <c r="G16" s="163">
        <f ca="1">SUMIF('5'!$L:$M,הוצאות!$B16,'5'!$M:$M)</f>
        <v>0</v>
      </c>
      <c r="H16" s="163">
        <f ca="1">SUMIF('6'!$L:$M,הוצאות!$B16,'6'!$M:$M)</f>
        <v>0</v>
      </c>
      <c r="I16" s="163">
        <f ca="1">SUMIF('7'!$L:$M,הוצאות!$B16,'7'!$M:$M)</f>
        <v>0</v>
      </c>
      <c r="J16" s="163">
        <f ca="1">SUMIF('8'!$L:$M,הוצאות!$B16,'8'!$M:$M)</f>
        <v>0</v>
      </c>
      <c r="K16" s="163">
        <f ca="1">SUMIF('9'!$L:$M,הוצאות!$B16,'9'!$M:$M)</f>
        <v>0</v>
      </c>
      <c r="L16" s="163">
        <f ca="1">SUMIF('10'!$L:$M,הוצאות!$B16,'10'!$M:$M)</f>
        <v>0</v>
      </c>
      <c r="M16" s="163">
        <f ca="1">SUMIF('11'!$L:$M,הוצאות!$B16,'11'!$M:$M)</f>
        <v>0</v>
      </c>
      <c r="N16" s="163">
        <f ca="1">SUMIF('12'!$L:$M,הוצאות!$B16,'12'!$M:$M)</f>
        <v>0</v>
      </c>
      <c r="O16" s="88">
        <f t="shared" ca="1" si="0"/>
        <v>0</v>
      </c>
    </row>
    <row r="17" spans="1:15" hidden="1" outlineLevel="1">
      <c r="A17" s="186"/>
      <c r="B17" s="16" t="s">
        <v>32</v>
      </c>
      <c r="C17" s="163">
        <f ca="1">SUMIF('1'!$L:$M,הוצאות!$B17,'1'!$M:$M)</f>
        <v>270</v>
      </c>
      <c r="D17" s="163">
        <f ca="1">SUMIF('2'!$L:$M,הוצאות!$B17,'2'!$M:$M)</f>
        <v>741.4</v>
      </c>
      <c r="E17" s="163">
        <f ca="1">SUMIF('3'!$L:$M,הוצאות!$B17,'3'!$M:$M)</f>
        <v>1576.9000000000003</v>
      </c>
      <c r="F17" s="163">
        <f ca="1">SUMIF('4'!$L:$M,הוצאות!$B17,'4'!$M:$M)</f>
        <v>602.06999999999994</v>
      </c>
      <c r="G17" s="163">
        <f ca="1">SUMIF('5'!$L:$M,הוצאות!$B17,'5'!$M:$M)</f>
        <v>228.71</v>
      </c>
      <c r="H17" s="163">
        <f ca="1">SUMIF('6'!$L:$M,הוצאות!$B17,'6'!$M:$M)</f>
        <v>1971.72</v>
      </c>
      <c r="I17" s="163">
        <f ca="1">SUMIF('7'!$L:$M,הוצאות!$B17,'7'!$M:$M)</f>
        <v>539.07000000000005</v>
      </c>
      <c r="J17" s="163">
        <f ca="1">SUMIF('8'!$L:$M,הוצאות!$B17,'8'!$M:$M)</f>
        <v>0</v>
      </c>
      <c r="K17" s="163">
        <f ca="1">SUMIF('9'!$L:$M,הוצאות!$B17,'9'!$M:$M)</f>
        <v>0</v>
      </c>
      <c r="L17" s="163">
        <f ca="1">SUMIF('10'!$L:$M,הוצאות!$B17,'10'!$M:$M)</f>
        <v>0</v>
      </c>
      <c r="M17" s="163">
        <f ca="1">SUMIF('11'!$L:$M,הוצאות!$B17,'11'!$M:$M)</f>
        <v>0</v>
      </c>
      <c r="N17" s="163">
        <f ca="1">SUMIF('12'!$L:$M,הוצאות!$B17,'12'!$M:$M)</f>
        <v>0</v>
      </c>
      <c r="O17" s="88">
        <f t="shared" ca="1" si="0"/>
        <v>5929.87</v>
      </c>
    </row>
    <row r="18" spans="1:15" ht="14.25" hidden="1" customHeight="1" outlineLevel="1">
      <c r="A18" s="186"/>
      <c r="B18" s="15" t="s">
        <v>18</v>
      </c>
      <c r="C18" s="163">
        <f ca="1">SUMIF('1'!$L:$M,הוצאות!$B18,'1'!$M:$M)</f>
        <v>9389.2999999999993</v>
      </c>
      <c r="D18" s="163">
        <f ca="1">SUMIF('2'!$L:$M,הוצאות!$B18,'2'!$M:$M)</f>
        <v>9429.1999999999989</v>
      </c>
      <c r="E18" s="163">
        <f ca="1">SUMIF('3'!$L:$M,הוצאות!$B18,'3'!$M:$M)</f>
        <v>885.94</v>
      </c>
      <c r="F18" s="163">
        <f ca="1">SUMIF('4'!$L:$M,הוצאות!$B18,'4'!$M:$M)</f>
        <v>964.8</v>
      </c>
      <c r="G18" s="163">
        <f ca="1">SUMIF('5'!$L:$M,הוצאות!$B18,'5'!$M:$M)</f>
        <v>49</v>
      </c>
      <c r="H18" s="163">
        <f ca="1">SUMIF('6'!$L:$M,הוצאות!$B18,'6'!$M:$M)</f>
        <v>16128.23</v>
      </c>
      <c r="I18" s="163">
        <f ca="1">SUMIF('7'!$L:$M,הוצאות!$B18,'7'!$M:$M)</f>
        <v>2753.01</v>
      </c>
      <c r="J18" s="163">
        <f ca="1">SUMIF('8'!$L:$M,הוצאות!$B18,'8'!$M:$M)</f>
        <v>0</v>
      </c>
      <c r="K18" s="163">
        <f ca="1">SUMIF('9'!$L:$M,הוצאות!$B18,'9'!$M:$M)</f>
        <v>0</v>
      </c>
      <c r="L18" s="163">
        <f ca="1">SUMIF('10'!$L:$M,הוצאות!$B18,'10'!$M:$M)</f>
        <v>0</v>
      </c>
      <c r="M18" s="163">
        <f ca="1">SUMIF('11'!$L:$M,הוצאות!$B18,'11'!$M:$M)</f>
        <v>0</v>
      </c>
      <c r="N18" s="163">
        <f ca="1">SUMIF('12'!$L:$M,הוצאות!$B18,'12'!$M:$M)</f>
        <v>0</v>
      </c>
      <c r="O18" s="164">
        <f ca="1">SUM(C18:N18)</f>
        <v>39599.480000000003</v>
      </c>
    </row>
    <row r="19" spans="1:15" hidden="1" outlineLevel="1">
      <c r="A19" s="186"/>
      <c r="B19" s="16" t="s">
        <v>84</v>
      </c>
      <c r="C19" s="163">
        <f ca="1">SUMIF('1'!$L:$M,הוצאות!$B19,'1'!$M:$M)</f>
        <v>0</v>
      </c>
      <c r="D19" s="163">
        <f ca="1">SUMIF('2'!$L:$M,הוצאות!$B19,'2'!$M:$M)</f>
        <v>0</v>
      </c>
      <c r="E19" s="163">
        <f ca="1">SUMIF('3'!$L:$M,הוצאות!$B19,'3'!$M:$M)</f>
        <v>0</v>
      </c>
      <c r="F19" s="163">
        <f ca="1">SUMIF('4'!$L:$M,הוצאות!$B19,'4'!$M:$M)</f>
        <v>0</v>
      </c>
      <c r="G19" s="163">
        <f ca="1">SUMIF('5'!$L:$M,הוצאות!$B19,'5'!$M:$M)</f>
        <v>0</v>
      </c>
      <c r="H19" s="163">
        <f ca="1">SUMIF('6'!$L:$M,הוצאות!$B19,'6'!$M:$M)</f>
        <v>0</v>
      </c>
      <c r="I19" s="163">
        <f ca="1">SUMIF('7'!$L:$M,הוצאות!$B19,'7'!$M:$M)</f>
        <v>0</v>
      </c>
      <c r="J19" s="163">
        <f ca="1">SUMIF('8'!$L:$M,הוצאות!$B19,'8'!$M:$M)</f>
        <v>0</v>
      </c>
      <c r="K19" s="163">
        <f ca="1">SUMIF('9'!$L:$M,הוצאות!$B19,'9'!$M:$M)</f>
        <v>0</v>
      </c>
      <c r="L19" s="163">
        <f ca="1">SUMIF('10'!$L:$M,הוצאות!$B19,'10'!$M:$M)</f>
        <v>0</v>
      </c>
      <c r="M19" s="163">
        <f ca="1">SUMIF('11'!$L:$M,הוצאות!$B19,'11'!$M:$M)</f>
        <v>0</v>
      </c>
      <c r="N19" s="163">
        <f ca="1">SUMIF('12'!$L:$M,הוצאות!$B19,'12'!$M:$M)</f>
        <v>0</v>
      </c>
      <c r="O19" s="88">
        <f t="shared" ca="1" si="0"/>
        <v>0</v>
      </c>
    </row>
    <row r="20" spans="1:15" hidden="1" outlineLevel="1">
      <c r="A20" s="186"/>
      <c r="B20" s="16" t="s">
        <v>28</v>
      </c>
      <c r="C20" s="163">
        <f ca="1">SUMIF('1'!$L:$M,הוצאות!$B20,'1'!$M:$M)</f>
        <v>866.43</v>
      </c>
      <c r="D20" s="163">
        <f ca="1">SUMIF('2'!$L:$M,הוצאות!$B20,'2'!$M:$M)</f>
        <v>669.2</v>
      </c>
      <c r="E20" s="163">
        <f ca="1">SUMIF('3'!$L:$M,הוצאות!$B20,'3'!$M:$M)</f>
        <v>967.1</v>
      </c>
      <c r="F20" s="163">
        <f ca="1">SUMIF('4'!$L:$M,הוצאות!$B20,'4'!$M:$M)</f>
        <v>59.7</v>
      </c>
      <c r="G20" s="163">
        <f ca="1">SUMIF('5'!$L:$M,הוצאות!$B20,'5'!$M:$M)</f>
        <v>2442.79</v>
      </c>
      <c r="H20" s="163">
        <f ca="1">SUMIF('6'!$L:$M,הוצאות!$B20,'6'!$M:$M)</f>
        <v>3229.5999999999995</v>
      </c>
      <c r="I20" s="163">
        <f ca="1">SUMIF('7'!$L:$M,הוצאות!$B20,'7'!$M:$M)</f>
        <v>3472.57</v>
      </c>
      <c r="J20" s="163">
        <f ca="1">SUMIF('8'!$L:$M,הוצאות!$B20,'8'!$M:$M)</f>
        <v>0</v>
      </c>
      <c r="K20" s="163">
        <f ca="1">SUMIF('9'!$L:$M,הוצאות!$B20,'9'!$M:$M)</f>
        <v>0</v>
      </c>
      <c r="L20" s="163">
        <f ca="1">SUMIF('10'!$L:$M,הוצאות!$B20,'10'!$M:$M)</f>
        <v>0</v>
      </c>
      <c r="M20" s="163">
        <f ca="1">SUMIF('11'!$L:$M,הוצאות!$B20,'11'!$M:$M)</f>
        <v>0</v>
      </c>
      <c r="N20" s="163">
        <f ca="1">SUMIF('12'!$L:$M,הוצאות!$B20,'12'!$M:$M)</f>
        <v>0</v>
      </c>
      <c r="O20" s="88">
        <f t="shared" ca="1" si="0"/>
        <v>11707.39</v>
      </c>
    </row>
    <row r="21" spans="1:15" hidden="1" outlineLevel="1">
      <c r="A21" s="186"/>
      <c r="B21" s="16" t="s">
        <v>5</v>
      </c>
      <c r="C21" s="163">
        <f ca="1">SUMIF('1'!$L:$M,הוצאות!$B21,'1'!$M:$M)</f>
        <v>30</v>
      </c>
      <c r="D21" s="163">
        <f ca="1">SUMIF('2'!$L:$M,הוצאות!$B21,'2'!$M:$M)</f>
        <v>30</v>
      </c>
      <c r="E21" s="163">
        <f ca="1">SUMIF('3'!$L:$M,הוצאות!$B21,'3'!$M:$M)</f>
        <v>30.19</v>
      </c>
      <c r="F21" s="163">
        <f ca="1">SUMIF('4'!$L:$M,הוצאות!$B21,'4'!$M:$M)</f>
        <v>30</v>
      </c>
      <c r="G21" s="163">
        <f ca="1">SUMIF('5'!$L:$M,הוצאות!$B21,'5'!$M:$M)</f>
        <v>30</v>
      </c>
      <c r="H21" s="163">
        <f ca="1">SUMIF('6'!$L:$M,הוצאות!$B21,'6'!$M:$M)</f>
        <v>30</v>
      </c>
      <c r="I21" s="163">
        <f ca="1">SUMIF('7'!$L:$M,הוצאות!$B21,'7'!$M:$M)</f>
        <v>30</v>
      </c>
      <c r="J21" s="163">
        <f ca="1">SUMIF('8'!$L:$M,הוצאות!$B21,'8'!$M:$M)</f>
        <v>0</v>
      </c>
      <c r="K21" s="163">
        <f ca="1">SUMIF('9'!$L:$M,הוצאות!$B21,'9'!$M:$M)</f>
        <v>0</v>
      </c>
      <c r="L21" s="163">
        <f ca="1">SUMIF('10'!$L:$M,הוצאות!$B21,'10'!$M:$M)</f>
        <v>0</v>
      </c>
      <c r="M21" s="163">
        <f ca="1">SUMIF('11'!$L:$M,הוצאות!$B21,'11'!$M:$M)</f>
        <v>0</v>
      </c>
      <c r="N21" s="163">
        <f ca="1">SUMIF('12'!$L:$M,הוצאות!$B21,'12'!$M:$M)</f>
        <v>0</v>
      </c>
      <c r="O21" s="88">
        <f t="shared" ca="1" si="0"/>
        <v>210.19</v>
      </c>
    </row>
    <row r="22" spans="1:15" hidden="1" outlineLevel="1">
      <c r="A22" s="186"/>
      <c r="B22" s="16" t="s">
        <v>30</v>
      </c>
      <c r="C22" s="163">
        <f ca="1">SUMIF('1'!$L:$M,הוצאות!$B22,'1'!$M:$M)</f>
        <v>0</v>
      </c>
      <c r="D22" s="163">
        <f ca="1">SUMIF('2'!$L:$M,הוצאות!$B22,'2'!$M:$M)</f>
        <v>0</v>
      </c>
      <c r="E22" s="163">
        <f ca="1">SUMIF('3'!$L:$M,הוצאות!$B22,'3'!$M:$M)</f>
        <v>0</v>
      </c>
      <c r="F22" s="163">
        <f ca="1">SUMIF('4'!$L:$M,הוצאות!$B22,'4'!$M:$M)</f>
        <v>0</v>
      </c>
      <c r="G22" s="163">
        <f ca="1">SUMIF('5'!$L:$M,הוצאות!$B22,'5'!$M:$M)</f>
        <v>0</v>
      </c>
      <c r="H22" s="163">
        <f ca="1">SUMIF('6'!$L:$M,הוצאות!$B22,'6'!$M:$M)</f>
        <v>0</v>
      </c>
      <c r="I22" s="163">
        <f ca="1">SUMIF('7'!$L:$M,הוצאות!$B22,'7'!$M:$M)</f>
        <v>0</v>
      </c>
      <c r="J22" s="163">
        <f ca="1">SUMIF('8'!$L:$M,הוצאות!$B22,'8'!$M:$M)</f>
        <v>0</v>
      </c>
      <c r="K22" s="163">
        <f ca="1">SUMIF('9'!$L:$M,הוצאות!$B22,'9'!$M:$M)</f>
        <v>0</v>
      </c>
      <c r="L22" s="163">
        <f ca="1">SUMIF('10'!$L:$M,הוצאות!$B22,'10'!$M:$M)</f>
        <v>0</v>
      </c>
      <c r="M22" s="163">
        <f ca="1">SUMIF('11'!$L:$M,הוצאות!$B22,'11'!$M:$M)</f>
        <v>0</v>
      </c>
      <c r="N22" s="163">
        <f ca="1">SUMIF('12'!$L:$M,הוצאות!$B22,'12'!$M:$M)</f>
        <v>0</v>
      </c>
      <c r="O22" s="88">
        <f ca="1">SUM(C22:N22)</f>
        <v>0</v>
      </c>
    </row>
    <row r="23" spans="1:15" hidden="1" outlineLevel="1">
      <c r="A23" s="186"/>
      <c r="B23" s="16" t="s">
        <v>21</v>
      </c>
      <c r="C23" s="163">
        <f ca="1">SUMIF('1'!$L:$M,הוצאות!$B23,'1'!$M:$M)</f>
        <v>0</v>
      </c>
      <c r="D23" s="163">
        <f ca="1">SUMIF('2'!$L:$M,הוצאות!$B23,'2'!$M:$M)</f>
        <v>0</v>
      </c>
      <c r="E23" s="163">
        <f ca="1">SUMIF('3'!$L:$M,הוצאות!$B23,'3'!$M:$M)</f>
        <v>244.9</v>
      </c>
      <c r="F23" s="163">
        <f ca="1">SUMIF('4'!$L:$M,הוצאות!$B23,'4'!$M:$M)</f>
        <v>0</v>
      </c>
      <c r="G23" s="163">
        <f ca="1">SUMIF('5'!$L:$M,הוצאות!$B23,'5'!$M:$M)</f>
        <v>0</v>
      </c>
      <c r="H23" s="163">
        <f ca="1">SUMIF('6'!$L:$M,הוצאות!$B23,'6'!$M:$M)</f>
        <v>0</v>
      </c>
      <c r="I23" s="163">
        <f ca="1">SUMIF('7'!$L:$M,הוצאות!$B23,'7'!$M:$M)</f>
        <v>0</v>
      </c>
      <c r="J23" s="163">
        <f ca="1">SUMIF('8'!$L:$M,הוצאות!$B23,'8'!$M:$M)</f>
        <v>0</v>
      </c>
      <c r="K23" s="163">
        <f ca="1">SUMIF('9'!$L:$M,הוצאות!$B23,'9'!$M:$M)</f>
        <v>0</v>
      </c>
      <c r="L23" s="163">
        <f ca="1">SUMIF('10'!$L:$M,הוצאות!$B23,'10'!$M:$M)</f>
        <v>0</v>
      </c>
      <c r="M23" s="163">
        <f ca="1">SUMIF('11'!$L:$M,הוצאות!$B23,'11'!$M:$M)</f>
        <v>0</v>
      </c>
      <c r="N23" s="163">
        <f ca="1">SUMIF('12'!$L:$M,הוצאות!$B23,'12'!$M:$M)</f>
        <v>0</v>
      </c>
      <c r="O23" s="88">
        <f t="shared" ref="O23:O24" ca="1" si="1">SUM(C23:N23)</f>
        <v>244.9</v>
      </c>
    </row>
    <row r="24" spans="1:15" hidden="1" outlineLevel="1">
      <c r="A24" s="186"/>
      <c r="B24" s="16" t="s">
        <v>611</v>
      </c>
      <c r="C24" s="163">
        <f ca="1">SUMIF('1'!$L:$M,הוצאות!$B24,'1'!$M:$M)</f>
        <v>0</v>
      </c>
      <c r="D24" s="163">
        <f ca="1">SUMIF('2'!$L:$M,הוצאות!$B24,'2'!$M:$M)</f>
        <v>0</v>
      </c>
      <c r="E24" s="163">
        <f ca="1">SUMIF('3'!$L:$M,הוצאות!$B24,'3'!$M:$M)</f>
        <v>0</v>
      </c>
      <c r="F24" s="163">
        <f ca="1">SUMIF('4'!$L:$M,הוצאות!$B24,'4'!$M:$M)</f>
        <v>0</v>
      </c>
      <c r="G24" s="163">
        <f ca="1">SUMIF('5'!$L:$M,הוצאות!$B24,'5'!$M:$M)</f>
        <v>0</v>
      </c>
      <c r="H24" s="163">
        <f ca="1">SUMIF('6'!$L:$M,הוצאות!$B24,'6'!$M:$M)</f>
        <v>0</v>
      </c>
      <c r="I24" s="163">
        <f ca="1">SUMIF('7'!$L:$M,הוצאות!$B24,'7'!$M:$M)</f>
        <v>0</v>
      </c>
      <c r="J24" s="163">
        <f ca="1">SUMIF('8'!$L:$M,הוצאות!$B24,'8'!$M:$M)</f>
        <v>0</v>
      </c>
      <c r="K24" s="163">
        <f ca="1">SUMIF('9'!$L:$M,הוצאות!$B24,'9'!$M:$M)</f>
        <v>0</v>
      </c>
      <c r="L24" s="163">
        <f ca="1">SUMIF('10'!$L:$M,הוצאות!$B24,'10'!$M:$M)</f>
        <v>0</v>
      </c>
      <c r="M24" s="163">
        <f ca="1">SUMIF('11'!$L:$M,הוצאות!$B24,'11'!$M:$M)</f>
        <v>0</v>
      </c>
      <c r="N24" s="163">
        <f ca="1">SUMIF('12'!$L:$M,הוצאות!$B24,'12'!$M:$M)</f>
        <v>0</v>
      </c>
      <c r="O24" s="88">
        <f t="shared" ca="1" si="1"/>
        <v>0</v>
      </c>
    </row>
    <row r="25" spans="1:15" ht="15.75" hidden="1" outlineLevel="1" thickBot="1">
      <c r="A25" s="186"/>
      <c r="B25" s="17" t="s">
        <v>612</v>
      </c>
      <c r="C25" s="165">
        <f ca="1">SUMIF('1'!$L:$M,הוצאות!$B25,'1'!$M:$M)</f>
        <v>0</v>
      </c>
      <c r="D25" s="165">
        <f ca="1">SUMIF('2'!$L:$M,הוצאות!$B25,'2'!$M:$M)</f>
        <v>0</v>
      </c>
      <c r="E25" s="165">
        <f ca="1">SUMIF('3'!$L:$M,הוצאות!$B25,'3'!$M:$M)</f>
        <v>0</v>
      </c>
      <c r="F25" s="165">
        <f ca="1">SUMIF('4'!$L:$M,הוצאות!$B25,'4'!$M:$M)</f>
        <v>0</v>
      </c>
      <c r="G25" s="165">
        <f ca="1">SUMIF('5'!$L:$M,הוצאות!$B25,'5'!$M:$M)</f>
        <v>0</v>
      </c>
      <c r="H25" s="165">
        <f ca="1">SUMIF('6'!$L:$M,הוצאות!$B25,'6'!$M:$M)</f>
        <v>0</v>
      </c>
      <c r="I25" s="165">
        <f ca="1">SUMIF('7'!$L:$M,הוצאות!$B25,'7'!$M:$M)</f>
        <v>0</v>
      </c>
      <c r="J25" s="165">
        <f ca="1">SUMIF('8'!$L:$M,הוצאות!$B25,'8'!$M:$M)</f>
        <v>0</v>
      </c>
      <c r="K25" s="165">
        <f ca="1">SUMIF('9'!$L:$M,הוצאות!$B25,'9'!$M:$M)</f>
        <v>0</v>
      </c>
      <c r="L25" s="165">
        <f ca="1">SUMIF('10'!$L:$M,הוצאות!$B25,'10'!$M:$M)</f>
        <v>0</v>
      </c>
      <c r="M25" s="165">
        <f ca="1">SUMIF('11'!$L:$M,הוצאות!$B25,'11'!$M:$M)</f>
        <v>0</v>
      </c>
      <c r="N25" s="165">
        <f ca="1">SUMIF('12'!$L:$M,הוצאות!$B25,'12'!$M:$M)</f>
        <v>0</v>
      </c>
      <c r="O25" s="166">
        <f t="shared" ca="1" si="0"/>
        <v>0</v>
      </c>
    </row>
    <row r="26" spans="1:15" ht="15.75" collapsed="1" thickBot="1">
      <c r="A26" s="187"/>
      <c r="B26" s="13" t="s">
        <v>58</v>
      </c>
      <c r="C26" s="167">
        <f t="shared" ref="C26:N26" ca="1" si="2">SUM(C2:C25)</f>
        <v>22053.239999999998</v>
      </c>
      <c r="D26" s="168">
        <f t="shared" ca="1" si="2"/>
        <v>29652.09</v>
      </c>
      <c r="E26" s="168">
        <f t="shared" ca="1" si="2"/>
        <v>23081.43</v>
      </c>
      <c r="F26" s="168">
        <f ca="1">SUM(F2:F25)</f>
        <v>12148.5</v>
      </c>
      <c r="G26" s="168">
        <f t="shared" ca="1" si="2"/>
        <v>18777.919999999998</v>
      </c>
      <c r="H26" s="168">
        <f t="shared" ca="1" si="2"/>
        <v>33935.07</v>
      </c>
      <c r="I26" s="168">
        <f t="shared" ca="1" si="2"/>
        <v>16501.600000000002</v>
      </c>
      <c r="J26" s="168">
        <f ca="1">SUM(J2:J25)</f>
        <v>0</v>
      </c>
      <c r="K26" s="168">
        <f t="shared" ca="1" si="2"/>
        <v>0</v>
      </c>
      <c r="L26" s="168">
        <f t="shared" ca="1" si="2"/>
        <v>0</v>
      </c>
      <c r="M26" s="168">
        <f t="shared" ca="1" si="2"/>
        <v>0</v>
      </c>
      <c r="N26" s="168">
        <f t="shared" ca="1" si="2"/>
        <v>0</v>
      </c>
      <c r="O26" s="169">
        <f t="shared" ca="1" si="0"/>
        <v>156149.85</v>
      </c>
    </row>
    <row r="27" spans="1:15" hidden="1" outlineLevel="1">
      <c r="A27" s="186" t="s">
        <v>56</v>
      </c>
      <c r="B27" s="15" t="s">
        <v>23</v>
      </c>
      <c r="C27" s="170">
        <f>'הוצאות ידני'!B3</f>
        <v>0</v>
      </c>
      <c r="D27" s="163">
        <f>'הוצאות ידני'!C3</f>
        <v>0</v>
      </c>
      <c r="E27" s="163">
        <f>'הוצאות ידני'!D3</f>
        <v>0</v>
      </c>
      <c r="F27" s="163">
        <f>'הוצאות ידני'!E3</f>
        <v>0</v>
      </c>
      <c r="G27" s="163">
        <f>'הוצאות ידני'!F3</f>
        <v>0</v>
      </c>
      <c r="H27" s="163">
        <f>'הוצאות ידני'!G3</f>
        <v>0</v>
      </c>
      <c r="I27" s="163">
        <f>'הוצאות ידני'!H3</f>
        <v>0</v>
      </c>
      <c r="J27" s="163">
        <f>'הוצאות ידני'!I3</f>
        <v>0</v>
      </c>
      <c r="K27" s="163">
        <f>'הוצאות ידני'!J3</f>
        <v>0</v>
      </c>
      <c r="L27" s="163">
        <f>'הוצאות ידני'!K3</f>
        <v>0</v>
      </c>
      <c r="M27" s="163">
        <f>'הוצאות ידני'!L3</f>
        <v>0</v>
      </c>
      <c r="N27" s="163">
        <f>'הוצאות ידני'!M3</f>
        <v>0</v>
      </c>
      <c r="O27" s="164">
        <f t="shared" si="0"/>
        <v>0</v>
      </c>
    </row>
    <row r="28" spans="1:15" hidden="1" outlineLevel="1">
      <c r="A28" s="186"/>
      <c r="B28" s="16" t="s">
        <v>27</v>
      </c>
      <c r="C28" s="171">
        <f>'הוצאות ידני'!B4</f>
        <v>0</v>
      </c>
      <c r="D28" s="87">
        <f>'הוצאות ידני'!C4</f>
        <v>0</v>
      </c>
      <c r="E28" s="87">
        <f>'הוצאות ידני'!D4</f>
        <v>0</v>
      </c>
      <c r="F28" s="87">
        <f>'הוצאות ידני'!E4</f>
        <v>0</v>
      </c>
      <c r="G28" s="87">
        <f>'הוצאות ידני'!F4</f>
        <v>0</v>
      </c>
      <c r="H28" s="87">
        <f>'הוצאות ידני'!G4</f>
        <v>0</v>
      </c>
      <c r="I28" s="87">
        <f>'הוצאות ידני'!H4</f>
        <v>0</v>
      </c>
      <c r="J28" s="87">
        <f>'הוצאות ידני'!I4</f>
        <v>0</v>
      </c>
      <c r="K28" s="87">
        <f>'הוצאות ידני'!J4</f>
        <v>0</v>
      </c>
      <c r="L28" s="87">
        <f>'הוצאות ידני'!K4</f>
        <v>0</v>
      </c>
      <c r="M28" s="87">
        <f>'הוצאות ידני'!L4</f>
        <v>0</v>
      </c>
      <c r="N28" s="87">
        <f>'הוצאות ידני'!M4</f>
        <v>0</v>
      </c>
      <c r="O28" s="88">
        <f t="shared" si="0"/>
        <v>0</v>
      </c>
    </row>
    <row r="29" spans="1:15" hidden="1" outlineLevel="1">
      <c r="A29" s="186"/>
      <c r="B29" s="16" t="s">
        <v>19</v>
      </c>
      <c r="C29" s="171">
        <f>'הוצאות ידני'!B5</f>
        <v>0</v>
      </c>
      <c r="D29" s="87">
        <f>'הוצאות ידני'!C5</f>
        <v>0</v>
      </c>
      <c r="E29" s="87">
        <f>'הוצאות ידני'!D5</f>
        <v>0</v>
      </c>
      <c r="F29" s="87">
        <f>'הוצאות ידני'!E5</f>
        <v>0</v>
      </c>
      <c r="G29" s="87">
        <f>'הוצאות ידני'!F5</f>
        <v>0</v>
      </c>
      <c r="H29" s="87">
        <f>'הוצאות ידני'!G5</f>
        <v>0</v>
      </c>
      <c r="I29" s="87">
        <f>'הוצאות ידני'!H5</f>
        <v>0</v>
      </c>
      <c r="J29" s="87">
        <f>'הוצאות ידני'!I5</f>
        <v>0</v>
      </c>
      <c r="K29" s="87">
        <f>'הוצאות ידני'!J5</f>
        <v>0</v>
      </c>
      <c r="L29" s="87">
        <f>'הוצאות ידני'!K5</f>
        <v>0</v>
      </c>
      <c r="M29" s="87">
        <f>'הוצאות ידני'!L5</f>
        <v>0</v>
      </c>
      <c r="N29" s="87">
        <f>'הוצאות ידני'!M5</f>
        <v>0</v>
      </c>
      <c r="O29" s="88">
        <f t="shared" si="0"/>
        <v>0</v>
      </c>
    </row>
    <row r="30" spans="1:15" hidden="1" outlineLevel="1">
      <c r="A30" s="186"/>
      <c r="B30" s="16" t="s">
        <v>26</v>
      </c>
      <c r="C30" s="171">
        <f>'הוצאות ידני'!B6</f>
        <v>0</v>
      </c>
      <c r="D30" s="87">
        <f>'הוצאות ידני'!C6</f>
        <v>1907.83</v>
      </c>
      <c r="E30" s="87">
        <f>'הוצאות ידני'!D6</f>
        <v>0</v>
      </c>
      <c r="F30" s="87">
        <f>'הוצאות ידני'!E6</f>
        <v>1867.3</v>
      </c>
      <c r="G30" s="87">
        <f>'הוצאות ידני'!F6</f>
        <v>0</v>
      </c>
      <c r="H30" s="87">
        <f>'הוצאות ידני'!G6</f>
        <v>1763.43</v>
      </c>
      <c r="I30" s="87">
        <f>'הוצאות ידני'!H6</f>
        <v>0</v>
      </c>
      <c r="J30" s="87">
        <f>'הוצאות ידני'!I6</f>
        <v>1942.67</v>
      </c>
      <c r="K30" s="87">
        <f>'הוצאות ידני'!J6</f>
        <v>0</v>
      </c>
      <c r="L30" s="87">
        <f>'הוצאות ידני'!K6</f>
        <v>1947.91</v>
      </c>
      <c r="M30" s="87">
        <f>'הוצאות ידני'!L6</f>
        <v>0</v>
      </c>
      <c r="N30" s="87">
        <f>'הוצאות ידני'!M6</f>
        <v>1962.73</v>
      </c>
      <c r="O30" s="88">
        <f t="shared" si="0"/>
        <v>11391.87</v>
      </c>
    </row>
    <row r="31" spans="1:15" hidden="1" outlineLevel="1">
      <c r="A31" s="186"/>
      <c r="B31" s="16" t="s">
        <v>34</v>
      </c>
      <c r="C31" s="171">
        <f>'הוצאות ידני'!B7</f>
        <v>0</v>
      </c>
      <c r="D31" s="87">
        <f>'הוצאות ידני'!C7</f>
        <v>0</v>
      </c>
      <c r="E31" s="87">
        <f>'הוצאות ידני'!D7</f>
        <v>0</v>
      </c>
      <c r="F31" s="87">
        <f>'הוצאות ידני'!E7</f>
        <v>0</v>
      </c>
      <c r="G31" s="87">
        <f>'הוצאות ידני'!F7</f>
        <v>0</v>
      </c>
      <c r="H31" s="87">
        <f>'הוצאות ידני'!G7</f>
        <v>0</v>
      </c>
      <c r="I31" s="87">
        <f>'הוצאות ידני'!H7</f>
        <v>0</v>
      </c>
      <c r="J31" s="87">
        <f>'הוצאות ידני'!I7</f>
        <v>0</v>
      </c>
      <c r="K31" s="87">
        <f>'הוצאות ידני'!J7</f>
        <v>0</v>
      </c>
      <c r="L31" s="87">
        <f>'הוצאות ידני'!K7</f>
        <v>0</v>
      </c>
      <c r="M31" s="87">
        <f>'הוצאות ידני'!L7</f>
        <v>0</v>
      </c>
      <c r="N31" s="87">
        <f>'הוצאות ידני'!M7</f>
        <v>0</v>
      </c>
      <c r="O31" s="88">
        <f t="shared" si="0"/>
        <v>0</v>
      </c>
    </row>
    <row r="32" spans="1:15" hidden="1" outlineLevel="1">
      <c r="A32" s="186"/>
      <c r="B32" s="16" t="s">
        <v>24</v>
      </c>
      <c r="C32" s="171">
        <f>'הוצאות ידני'!B8</f>
        <v>0</v>
      </c>
      <c r="D32" s="87">
        <f>'הוצאות ידני'!C8</f>
        <v>0</v>
      </c>
      <c r="E32" s="87">
        <f>'הוצאות ידני'!D8</f>
        <v>0</v>
      </c>
      <c r="F32" s="87">
        <f>'הוצאות ידני'!E8</f>
        <v>0</v>
      </c>
      <c r="G32" s="87">
        <f>'הוצאות ידני'!F8</f>
        <v>0</v>
      </c>
      <c r="H32" s="87">
        <f>'הוצאות ידני'!G8</f>
        <v>0</v>
      </c>
      <c r="I32" s="87">
        <f>'הוצאות ידני'!H8</f>
        <v>0</v>
      </c>
      <c r="J32" s="87">
        <f>'הוצאות ידני'!I8</f>
        <v>0</v>
      </c>
      <c r="K32" s="87">
        <f>'הוצאות ידני'!J8</f>
        <v>0</v>
      </c>
      <c r="L32" s="87">
        <f>'הוצאות ידני'!K8</f>
        <v>0</v>
      </c>
      <c r="M32" s="87">
        <f>'הוצאות ידני'!L8</f>
        <v>0</v>
      </c>
      <c r="N32" s="87">
        <f>'הוצאות ידני'!M8</f>
        <v>0</v>
      </c>
      <c r="O32" s="88">
        <f t="shared" si="0"/>
        <v>0</v>
      </c>
    </row>
    <row r="33" spans="1:15" hidden="1" outlineLevel="1">
      <c r="A33" s="186"/>
      <c r="B33" s="16" t="s">
        <v>29</v>
      </c>
      <c r="C33" s="171">
        <f>'הוצאות ידני'!B9</f>
        <v>0</v>
      </c>
      <c r="D33" s="87">
        <f>'הוצאות ידני'!C9</f>
        <v>0</v>
      </c>
      <c r="E33" s="87">
        <f>'הוצאות ידני'!D9</f>
        <v>565</v>
      </c>
      <c r="F33" s="87">
        <f>'הוצאות ידני'!E9</f>
        <v>0</v>
      </c>
      <c r="G33" s="87">
        <f>'הוצאות ידני'!F9</f>
        <v>0</v>
      </c>
      <c r="H33" s="87">
        <f>'הוצאות ידני'!G9</f>
        <v>0</v>
      </c>
      <c r="I33" s="87">
        <f>'הוצאות ידני'!H9</f>
        <v>0</v>
      </c>
      <c r="J33" s="87">
        <f>'הוצאות ידני'!I9</f>
        <v>0</v>
      </c>
      <c r="K33" s="87">
        <f>'הוצאות ידני'!J9</f>
        <v>0</v>
      </c>
      <c r="L33" s="87">
        <f>'הוצאות ידני'!K9</f>
        <v>0</v>
      </c>
      <c r="M33" s="87">
        <f>'הוצאות ידני'!L9</f>
        <v>0</v>
      </c>
      <c r="N33" s="87">
        <f>'הוצאות ידני'!M9</f>
        <v>0</v>
      </c>
      <c r="O33" s="88">
        <f t="shared" si="0"/>
        <v>565</v>
      </c>
    </row>
    <row r="34" spans="1:15" hidden="1" outlineLevel="1">
      <c r="A34" s="186"/>
      <c r="B34" s="16" t="s">
        <v>35</v>
      </c>
      <c r="C34" s="171">
        <f>'הוצאות ידני'!B10</f>
        <v>200</v>
      </c>
      <c r="D34" s="87">
        <f>'הוצאות ידני'!C10</f>
        <v>200</v>
      </c>
      <c r="E34" s="87">
        <f>'הוצאות ידני'!D10</f>
        <v>200</v>
      </c>
      <c r="F34" s="87">
        <f>'הוצאות ידני'!E10</f>
        <v>200</v>
      </c>
      <c r="G34" s="87">
        <f>'הוצאות ידני'!F10</f>
        <v>200</v>
      </c>
      <c r="H34" s="87">
        <f>'הוצאות ידני'!G10</f>
        <v>200</v>
      </c>
      <c r="I34" s="87">
        <f>'הוצאות ידני'!H10</f>
        <v>200</v>
      </c>
      <c r="J34" s="87">
        <f>'הוצאות ידני'!I10</f>
        <v>0</v>
      </c>
      <c r="K34" s="87">
        <f>'הוצאות ידני'!J10</f>
        <v>200</v>
      </c>
      <c r="L34" s="87">
        <f>'הוצאות ידני'!K10</f>
        <v>200</v>
      </c>
      <c r="M34" s="87">
        <f>'הוצאות ידני'!L10</f>
        <v>200</v>
      </c>
      <c r="N34" s="87">
        <f>'הוצאות ידני'!M10</f>
        <v>200</v>
      </c>
      <c r="O34" s="88">
        <f t="shared" si="0"/>
        <v>2200</v>
      </c>
    </row>
    <row r="35" spans="1:15" hidden="1" outlineLevel="1">
      <c r="A35" s="186"/>
      <c r="B35" s="16" t="s">
        <v>20</v>
      </c>
      <c r="C35" s="171">
        <f>'הוצאות ידני'!B11</f>
        <v>0</v>
      </c>
      <c r="D35" s="87">
        <f>'הוצאות ידני'!C11</f>
        <v>0</v>
      </c>
      <c r="E35" s="87">
        <f>'הוצאות ידני'!D11</f>
        <v>0</v>
      </c>
      <c r="F35" s="87">
        <f>'הוצאות ידני'!E11</f>
        <v>0</v>
      </c>
      <c r="G35" s="87">
        <f>'הוצאות ידני'!F11</f>
        <v>0</v>
      </c>
      <c r="H35" s="87">
        <f>'הוצאות ידני'!G11</f>
        <v>0</v>
      </c>
      <c r="I35" s="87">
        <f>'הוצאות ידני'!H11</f>
        <v>0</v>
      </c>
      <c r="J35" s="87">
        <f>'הוצאות ידני'!I11</f>
        <v>0</v>
      </c>
      <c r="K35" s="87">
        <f>'הוצאות ידני'!J11</f>
        <v>0</v>
      </c>
      <c r="L35" s="87">
        <f>'הוצאות ידני'!K11</f>
        <v>0</v>
      </c>
      <c r="M35" s="87">
        <f>'הוצאות ידני'!L11</f>
        <v>0</v>
      </c>
      <c r="N35" s="87">
        <f>'הוצאות ידני'!M11</f>
        <v>0</v>
      </c>
      <c r="O35" s="88">
        <f t="shared" si="0"/>
        <v>0</v>
      </c>
    </row>
    <row r="36" spans="1:15" hidden="1" outlineLevel="1">
      <c r="A36" s="186"/>
      <c r="B36" s="16" t="s">
        <v>75</v>
      </c>
      <c r="C36" s="171">
        <f>'הוצאות ידני'!B12</f>
        <v>1650.85</v>
      </c>
      <c r="D36" s="87">
        <f>'הוצאות ידני'!C12</f>
        <v>1671.3200000000002</v>
      </c>
      <c r="E36" s="87">
        <f>'הוצאות ידני'!D12</f>
        <v>1675.1100000000001</v>
      </c>
      <c r="F36" s="87">
        <f>'הוצאות ידני'!E12</f>
        <v>1652.74</v>
      </c>
      <c r="G36" s="87">
        <f>'הוצאות ידני'!F12</f>
        <v>1656.4299999999998</v>
      </c>
      <c r="H36" s="87">
        <f>'הוצאות ידני'!G12</f>
        <v>1650</v>
      </c>
      <c r="I36" s="87">
        <f>'הוצאות ידני'!H12</f>
        <v>1699.04</v>
      </c>
      <c r="J36" s="87">
        <f>'הוצאות ידני'!I12</f>
        <v>1650.85</v>
      </c>
      <c r="K36" s="87">
        <f>'הוצאות ידני'!J12</f>
        <v>1650</v>
      </c>
      <c r="L36" s="87">
        <f>'הוצאות ידני'!K12</f>
        <v>1650.85</v>
      </c>
      <c r="M36" s="87">
        <f>'הוצאות ידני'!L12</f>
        <v>1650</v>
      </c>
      <c r="N36" s="87">
        <f>'הוצאות ידני'!M12</f>
        <v>1650</v>
      </c>
      <c r="O36" s="88">
        <f t="shared" si="0"/>
        <v>19907.190000000002</v>
      </c>
    </row>
    <row r="37" spans="1:15" hidden="1" outlineLevel="1">
      <c r="A37" s="186"/>
      <c r="B37" s="16" t="s">
        <v>39</v>
      </c>
      <c r="C37" s="171">
        <f>'הוצאות ידני'!B13</f>
        <v>0</v>
      </c>
      <c r="D37" s="87">
        <f>'הוצאות ידני'!C13</f>
        <v>0</v>
      </c>
      <c r="E37" s="87">
        <f>'הוצאות ידני'!D13</f>
        <v>0</v>
      </c>
      <c r="F37" s="87">
        <f>'הוצאות ידני'!E13</f>
        <v>0</v>
      </c>
      <c r="G37" s="87">
        <f>'הוצאות ידני'!F13</f>
        <v>0</v>
      </c>
      <c r="H37" s="87">
        <f>'הוצאות ידני'!G13</f>
        <v>0</v>
      </c>
      <c r="I37" s="87">
        <f>'הוצאות ידני'!H13</f>
        <v>0</v>
      </c>
      <c r="J37" s="87">
        <f>'הוצאות ידני'!I13</f>
        <v>0</v>
      </c>
      <c r="K37" s="87">
        <f>'הוצאות ידני'!J13</f>
        <v>0</v>
      </c>
      <c r="L37" s="87">
        <f>'הוצאות ידני'!K13</f>
        <v>0</v>
      </c>
      <c r="M37" s="87">
        <f>'הוצאות ידני'!L13</f>
        <v>0</v>
      </c>
      <c r="N37" s="87">
        <f>'הוצאות ידני'!M13</f>
        <v>0</v>
      </c>
      <c r="O37" s="88">
        <f t="shared" si="0"/>
        <v>0</v>
      </c>
    </row>
    <row r="38" spans="1:15" hidden="1" outlineLevel="1">
      <c r="A38" s="186"/>
      <c r="B38" s="16" t="s">
        <v>25</v>
      </c>
      <c r="C38" s="171">
        <f>'הוצאות ידני'!B14</f>
        <v>0</v>
      </c>
      <c r="D38" s="87">
        <f>'הוצאות ידני'!C14</f>
        <v>0</v>
      </c>
      <c r="E38" s="87">
        <f>'הוצאות ידני'!D14</f>
        <v>0</v>
      </c>
      <c r="F38" s="87">
        <f>'הוצאות ידני'!E14</f>
        <v>0</v>
      </c>
      <c r="G38" s="87">
        <f>'הוצאות ידני'!F14</f>
        <v>0</v>
      </c>
      <c r="H38" s="87">
        <f>'הוצאות ידני'!G14</f>
        <v>0</v>
      </c>
      <c r="I38" s="87">
        <f>'הוצאות ידני'!H14</f>
        <v>0</v>
      </c>
      <c r="J38" s="87">
        <f>'הוצאות ידני'!I14</f>
        <v>0</v>
      </c>
      <c r="K38" s="87">
        <f>'הוצאות ידני'!J14</f>
        <v>0</v>
      </c>
      <c r="L38" s="87">
        <f>'הוצאות ידני'!K14</f>
        <v>0</v>
      </c>
      <c r="M38" s="87">
        <f>'הוצאות ידני'!L14</f>
        <v>0</v>
      </c>
      <c r="N38" s="87">
        <f>'הוצאות ידני'!M14</f>
        <v>0</v>
      </c>
      <c r="O38" s="88">
        <f t="shared" si="0"/>
        <v>0</v>
      </c>
    </row>
    <row r="39" spans="1:15" hidden="1" outlineLevel="1">
      <c r="A39" s="186"/>
      <c r="B39" s="16" t="s">
        <v>31</v>
      </c>
      <c r="C39" s="171">
        <f>'הוצאות ידני'!B15</f>
        <v>0</v>
      </c>
      <c r="D39" s="87">
        <f>'הוצאות ידני'!C15</f>
        <v>0</v>
      </c>
      <c r="E39" s="87">
        <f>'הוצאות ידני'!D15</f>
        <v>0</v>
      </c>
      <c r="F39" s="87">
        <f>'הוצאות ידני'!E15</f>
        <v>0</v>
      </c>
      <c r="G39" s="87">
        <f>'הוצאות ידני'!F15</f>
        <v>0</v>
      </c>
      <c r="H39" s="87">
        <f>'הוצאות ידני'!G15</f>
        <v>0</v>
      </c>
      <c r="I39" s="87">
        <f>'הוצאות ידני'!H15</f>
        <v>0</v>
      </c>
      <c r="J39" s="87">
        <f>'הוצאות ידני'!I15</f>
        <v>0</v>
      </c>
      <c r="K39" s="87">
        <f>'הוצאות ידני'!J15</f>
        <v>0</v>
      </c>
      <c r="L39" s="87">
        <f>'הוצאות ידני'!K15</f>
        <v>0</v>
      </c>
      <c r="M39" s="87">
        <f>'הוצאות ידני'!L15</f>
        <v>0</v>
      </c>
      <c r="N39" s="87">
        <f>'הוצאות ידני'!M15</f>
        <v>0</v>
      </c>
      <c r="O39" s="88">
        <f t="shared" si="0"/>
        <v>0</v>
      </c>
    </row>
    <row r="40" spans="1:15" hidden="1" outlineLevel="1">
      <c r="A40" s="186"/>
      <c r="B40" s="16" t="s">
        <v>22</v>
      </c>
      <c r="C40" s="171">
        <f>'הוצאות ידני'!B16</f>
        <v>0</v>
      </c>
      <c r="D40" s="87">
        <f>'הוצאות ידני'!C16</f>
        <v>0</v>
      </c>
      <c r="E40" s="87">
        <f>'הוצאות ידני'!D16</f>
        <v>0</v>
      </c>
      <c r="F40" s="87">
        <f>'הוצאות ידני'!E16</f>
        <v>0</v>
      </c>
      <c r="G40" s="87">
        <f>'הוצאות ידני'!F16</f>
        <v>0</v>
      </c>
      <c r="H40" s="87">
        <f>'הוצאות ידני'!G16</f>
        <v>0</v>
      </c>
      <c r="I40" s="87">
        <f>'הוצאות ידני'!H16</f>
        <v>0</v>
      </c>
      <c r="J40" s="87">
        <f>'הוצאות ידני'!I16</f>
        <v>0</v>
      </c>
      <c r="K40" s="87">
        <f>'הוצאות ידני'!J16</f>
        <v>0</v>
      </c>
      <c r="L40" s="87">
        <f>'הוצאות ידני'!K16</f>
        <v>0</v>
      </c>
      <c r="M40" s="87">
        <f>'הוצאות ידני'!L16</f>
        <v>0</v>
      </c>
      <c r="N40" s="87">
        <f>'הוצאות ידני'!M16</f>
        <v>0</v>
      </c>
      <c r="O40" s="88">
        <f t="shared" si="0"/>
        <v>0</v>
      </c>
    </row>
    <row r="41" spans="1:15" hidden="1" outlineLevel="1">
      <c r="A41" s="186"/>
      <c r="B41" s="16" t="s">
        <v>1254</v>
      </c>
      <c r="C41" s="171">
        <f>'הוצאות ידני'!B17</f>
        <v>1150</v>
      </c>
      <c r="D41" s="87">
        <f>'הוצאות ידני'!C17</f>
        <v>1150</v>
      </c>
      <c r="E41" s="87">
        <f>'הוצאות ידני'!D17</f>
        <v>1150</v>
      </c>
      <c r="F41" s="87">
        <f>'הוצאות ידני'!E17</f>
        <v>1150</v>
      </c>
      <c r="G41" s="87">
        <f>'הוצאות ידני'!F17</f>
        <v>1150</v>
      </c>
      <c r="H41" s="87">
        <f>'הוצאות ידני'!G17</f>
        <v>1150</v>
      </c>
      <c r="I41" s="87">
        <f>'הוצאות ידני'!H17</f>
        <v>1150</v>
      </c>
      <c r="J41" s="87">
        <f>'הוצאות ידני'!I17</f>
        <v>1150</v>
      </c>
      <c r="K41" s="87">
        <f>'הוצאות ידני'!J17</f>
        <v>2850</v>
      </c>
      <c r="L41" s="87">
        <f>'הוצאות ידני'!K17</f>
        <v>0</v>
      </c>
      <c r="M41" s="87">
        <f>'הוצאות ידני'!L17</f>
        <v>2850</v>
      </c>
      <c r="N41" s="87">
        <f>'הוצאות ידני'!M17</f>
        <v>0</v>
      </c>
      <c r="O41" s="88">
        <f t="shared" si="0"/>
        <v>14900</v>
      </c>
    </row>
    <row r="42" spans="1:15" hidden="1" outlineLevel="1">
      <c r="A42" s="186"/>
      <c r="B42" s="16" t="s">
        <v>32</v>
      </c>
      <c r="C42" s="171">
        <f>'הוצאות ידני'!B18</f>
        <v>0</v>
      </c>
      <c r="D42" s="87">
        <f>'הוצאות ידני'!C18</f>
        <v>0</v>
      </c>
      <c r="E42" s="87">
        <f>'הוצאות ידני'!D18</f>
        <v>0</v>
      </c>
      <c r="F42" s="87">
        <f>'הוצאות ידני'!E18</f>
        <v>0</v>
      </c>
      <c r="G42" s="87">
        <f>'הוצאות ידני'!F18</f>
        <v>0</v>
      </c>
      <c r="H42" s="87">
        <f>'הוצאות ידני'!G18</f>
        <v>0</v>
      </c>
      <c r="I42" s="87">
        <f>'הוצאות ידני'!H18</f>
        <v>0</v>
      </c>
      <c r="J42" s="87">
        <f>'הוצאות ידני'!I18</f>
        <v>0</v>
      </c>
      <c r="K42" s="87">
        <f>'הוצאות ידני'!J18</f>
        <v>0</v>
      </c>
      <c r="L42" s="87">
        <f>'הוצאות ידני'!K18</f>
        <v>0</v>
      </c>
      <c r="M42" s="87">
        <f>'הוצאות ידני'!L18</f>
        <v>0</v>
      </c>
      <c r="N42" s="87">
        <f>'הוצאות ידני'!M18</f>
        <v>0</v>
      </c>
      <c r="O42" s="88">
        <f t="shared" si="0"/>
        <v>0</v>
      </c>
    </row>
    <row r="43" spans="1:15" ht="14.25" hidden="1" customHeight="1" outlineLevel="1">
      <c r="A43" s="186"/>
      <c r="B43" s="15" t="s">
        <v>18</v>
      </c>
      <c r="C43" s="170">
        <f>'הוצאות ידני'!B2</f>
        <v>0</v>
      </c>
      <c r="D43" s="163">
        <f>'הוצאות ידני'!C2</f>
        <v>0</v>
      </c>
      <c r="E43" s="163">
        <f>'הוצאות ידני'!D2</f>
        <v>0</v>
      </c>
      <c r="F43" s="163">
        <f>'הוצאות ידני'!E2</f>
        <v>0</v>
      </c>
      <c r="G43" s="163">
        <f>'הוצאות ידני'!F2</f>
        <v>0</v>
      </c>
      <c r="H43" s="163">
        <f>'הוצאות ידני'!G2</f>
        <v>0</v>
      </c>
      <c r="I43" s="163">
        <f>'הוצאות ידני'!H2</f>
        <v>0</v>
      </c>
      <c r="J43" s="163">
        <f>'הוצאות ידני'!I2</f>
        <v>0</v>
      </c>
      <c r="K43" s="163">
        <f>'הוצאות ידני'!J2</f>
        <v>0</v>
      </c>
      <c r="L43" s="163">
        <f>'הוצאות ידני'!K2</f>
        <v>0</v>
      </c>
      <c r="M43" s="163">
        <f>'הוצאות ידני'!L2</f>
        <v>0</v>
      </c>
      <c r="N43" s="163">
        <f>'הוצאות ידני'!M2</f>
        <v>0</v>
      </c>
      <c r="O43" s="164">
        <f>SUM(C43:N43)</f>
        <v>0</v>
      </c>
    </row>
    <row r="44" spans="1:15" hidden="1" outlineLevel="1">
      <c r="A44" s="186"/>
      <c r="B44" s="16" t="s">
        <v>84</v>
      </c>
      <c r="C44" s="171">
        <f>'הוצאות ידני'!B19</f>
        <v>0</v>
      </c>
      <c r="D44" s="87">
        <f>'הוצאות ידני'!C19</f>
        <v>0</v>
      </c>
      <c r="E44" s="87">
        <f>'הוצאות ידני'!D19</f>
        <v>0</v>
      </c>
      <c r="F44" s="87">
        <f>'הוצאות ידני'!E19</f>
        <v>0</v>
      </c>
      <c r="G44" s="87">
        <f>'הוצאות ידני'!F19</f>
        <v>0</v>
      </c>
      <c r="H44" s="87">
        <f>'הוצאות ידני'!G19</f>
        <v>0</v>
      </c>
      <c r="I44" s="87">
        <f>'הוצאות ידני'!H19</f>
        <v>0</v>
      </c>
      <c r="J44" s="87">
        <f>'הוצאות ידני'!I19</f>
        <v>0</v>
      </c>
      <c r="K44" s="87">
        <f>'הוצאות ידני'!J19</f>
        <v>0</v>
      </c>
      <c r="L44" s="87">
        <f>'הוצאות ידני'!K19</f>
        <v>0</v>
      </c>
      <c r="M44" s="87">
        <f>'הוצאות ידני'!L19</f>
        <v>0</v>
      </c>
      <c r="N44" s="87">
        <f>'הוצאות ידני'!M19</f>
        <v>0</v>
      </c>
      <c r="O44" s="88">
        <f t="shared" si="0"/>
        <v>0</v>
      </c>
    </row>
    <row r="45" spans="1:15" hidden="1" outlineLevel="1">
      <c r="A45" s="186"/>
      <c r="B45" s="16" t="s">
        <v>28</v>
      </c>
      <c r="C45" s="171">
        <f>'הוצאות ידני'!B20</f>
        <v>0</v>
      </c>
      <c r="D45" s="87">
        <f>'הוצאות ידני'!C20</f>
        <v>0</v>
      </c>
      <c r="E45" s="87">
        <f>'הוצאות ידני'!D20</f>
        <v>0</v>
      </c>
      <c r="F45" s="87">
        <f>'הוצאות ידני'!E20</f>
        <v>0</v>
      </c>
      <c r="G45" s="87">
        <f>'הוצאות ידני'!F20</f>
        <v>0</v>
      </c>
      <c r="H45" s="87">
        <f>'הוצאות ידני'!G20</f>
        <v>0</v>
      </c>
      <c r="I45" s="87">
        <f>'הוצאות ידני'!H20</f>
        <v>0</v>
      </c>
      <c r="J45" s="87">
        <f>'הוצאות ידני'!I20</f>
        <v>0</v>
      </c>
      <c r="K45" s="87">
        <f>'הוצאות ידני'!J20</f>
        <v>0</v>
      </c>
      <c r="L45" s="87">
        <f>'הוצאות ידני'!K20</f>
        <v>0</v>
      </c>
      <c r="M45" s="87">
        <f>'הוצאות ידני'!L20</f>
        <v>0</v>
      </c>
      <c r="N45" s="87">
        <f>'הוצאות ידני'!M20</f>
        <v>0</v>
      </c>
      <c r="O45" s="88">
        <f t="shared" si="0"/>
        <v>0</v>
      </c>
    </row>
    <row r="46" spans="1:15" hidden="1" outlineLevel="1">
      <c r="A46" s="186"/>
      <c r="B46" s="16" t="s">
        <v>5</v>
      </c>
      <c r="C46" s="171">
        <f>'הוצאות ידני'!B21</f>
        <v>0</v>
      </c>
      <c r="D46" s="87">
        <f>'הוצאות ידני'!C21</f>
        <v>0</v>
      </c>
      <c r="E46" s="87">
        <f>'הוצאות ידני'!D21</f>
        <v>0</v>
      </c>
      <c r="F46" s="87">
        <f>'הוצאות ידני'!E21</f>
        <v>0</v>
      </c>
      <c r="G46" s="87">
        <f>'הוצאות ידני'!F21</f>
        <v>0</v>
      </c>
      <c r="H46" s="87">
        <f>'הוצאות ידני'!G21</f>
        <v>0</v>
      </c>
      <c r="I46" s="87">
        <f>'הוצאות ידני'!H21</f>
        <v>0</v>
      </c>
      <c r="J46" s="87">
        <f>'הוצאות ידני'!I21</f>
        <v>0</v>
      </c>
      <c r="K46" s="87">
        <f>'הוצאות ידני'!J21</f>
        <v>0</v>
      </c>
      <c r="L46" s="87">
        <f>'הוצאות ידני'!K21</f>
        <v>0</v>
      </c>
      <c r="M46" s="87">
        <f>'הוצאות ידני'!L21</f>
        <v>0</v>
      </c>
      <c r="N46" s="87">
        <f>'הוצאות ידני'!M21</f>
        <v>0</v>
      </c>
      <c r="O46" s="88">
        <f t="shared" si="0"/>
        <v>0</v>
      </c>
    </row>
    <row r="47" spans="1:15" hidden="1" outlineLevel="1">
      <c r="A47" s="186"/>
      <c r="B47" s="17" t="s">
        <v>30</v>
      </c>
      <c r="C47" s="171">
        <f>'הוצאות ידני'!B22</f>
        <v>0</v>
      </c>
      <c r="D47" s="87">
        <f>'הוצאות ידני'!C22</f>
        <v>0</v>
      </c>
      <c r="E47" s="87">
        <f>'הוצאות ידני'!D22</f>
        <v>0</v>
      </c>
      <c r="F47" s="87">
        <f>'הוצאות ידני'!E22</f>
        <v>0</v>
      </c>
      <c r="G47" s="87">
        <f>'הוצאות ידני'!F22</f>
        <v>0</v>
      </c>
      <c r="H47" s="87">
        <f>'הוצאות ידני'!G22</f>
        <v>0</v>
      </c>
      <c r="I47" s="87">
        <f>'הוצאות ידני'!H22</f>
        <v>0</v>
      </c>
      <c r="J47" s="87">
        <f>'הוצאות ידני'!I22</f>
        <v>0</v>
      </c>
      <c r="K47" s="87">
        <f>'הוצאות ידני'!J22</f>
        <v>0</v>
      </c>
      <c r="L47" s="87">
        <f>'הוצאות ידני'!K22</f>
        <v>0</v>
      </c>
      <c r="M47" s="87">
        <f>'הוצאות ידני'!L22</f>
        <v>0</v>
      </c>
      <c r="N47" s="87">
        <f>'הוצאות ידני'!M22</f>
        <v>0</v>
      </c>
      <c r="O47" s="88">
        <f>SUM(C47:N47)</f>
        <v>0</v>
      </c>
    </row>
    <row r="48" spans="1:15" hidden="1" outlineLevel="1">
      <c r="A48" s="186"/>
      <c r="B48" s="17" t="s">
        <v>21</v>
      </c>
      <c r="C48" s="172">
        <f>'הוצאות ידני'!B23</f>
        <v>0</v>
      </c>
      <c r="D48" s="173">
        <f>'הוצאות ידני'!C23</f>
        <v>0</v>
      </c>
      <c r="E48" s="173">
        <f>'הוצאות ידני'!D23</f>
        <v>0</v>
      </c>
      <c r="F48" s="173">
        <f>'הוצאות ידני'!E23</f>
        <v>0</v>
      </c>
      <c r="G48" s="173">
        <f>'הוצאות ידני'!F23</f>
        <v>0</v>
      </c>
      <c r="H48" s="173">
        <f>'הוצאות ידני'!G23</f>
        <v>0</v>
      </c>
      <c r="I48" s="173">
        <f>'הוצאות ידני'!H23</f>
        <v>0</v>
      </c>
      <c r="J48" s="173">
        <f>'הוצאות ידני'!I23</f>
        <v>0</v>
      </c>
      <c r="K48" s="173">
        <f>'הוצאות ידני'!J23</f>
        <v>0</v>
      </c>
      <c r="L48" s="173">
        <f>'הוצאות ידני'!K23</f>
        <v>0</v>
      </c>
      <c r="M48" s="173">
        <f>'הוצאות ידני'!L23</f>
        <v>0</v>
      </c>
      <c r="N48" s="173">
        <f>'הוצאות ידני'!M23</f>
        <v>0</v>
      </c>
      <c r="O48" s="166">
        <f t="shared" ref="O48" si="3">SUM(C48:N48)</f>
        <v>0</v>
      </c>
    </row>
    <row r="49" spans="1:15" hidden="1" outlineLevel="1">
      <c r="A49" s="186"/>
      <c r="B49" s="17" t="s">
        <v>1156</v>
      </c>
      <c r="C49" s="172">
        <f>'הוצאות ידני'!B24</f>
        <v>0</v>
      </c>
      <c r="D49" s="173">
        <f>'הוצאות ידני'!C24</f>
        <v>22000</v>
      </c>
      <c r="E49" s="173">
        <f>'הוצאות ידני'!D24</f>
        <v>0</v>
      </c>
      <c r="F49" s="173">
        <f>'הוצאות ידני'!E24</f>
        <v>0</v>
      </c>
      <c r="G49" s="173">
        <f>'הוצאות ידני'!F24</f>
        <v>40000</v>
      </c>
      <c r="H49" s="173">
        <f>'הוצאות ידני'!G24</f>
        <v>15000</v>
      </c>
      <c r="I49" s="173">
        <f>'הוצאות ידני'!H24</f>
        <v>23000</v>
      </c>
      <c r="J49" s="173">
        <f>'הוצאות ידני'!I24</f>
        <v>0</v>
      </c>
      <c r="K49" s="173">
        <f>'הוצאות ידני'!J24</f>
        <v>0</v>
      </c>
      <c r="L49" s="173">
        <f>'הוצאות ידני'!K24</f>
        <v>0</v>
      </c>
      <c r="M49" s="173">
        <f>'הוצאות ידני'!L24</f>
        <v>0</v>
      </c>
      <c r="N49" s="173">
        <f>'הוצאות ידני'!M24</f>
        <v>0</v>
      </c>
      <c r="O49" s="166">
        <f t="shared" ref="O49:O50" si="4">SUM(C49:N49)</f>
        <v>100000</v>
      </c>
    </row>
    <row r="50" spans="1:15" hidden="1" outlineLevel="1">
      <c r="A50" s="186"/>
      <c r="B50" s="17" t="s">
        <v>611</v>
      </c>
      <c r="C50" s="172">
        <f>'הוצאות ידני'!B25</f>
        <v>0</v>
      </c>
      <c r="D50" s="173">
        <f>'הוצאות ידני'!C25</f>
        <v>0</v>
      </c>
      <c r="E50" s="173">
        <f>'הוצאות ידני'!D25</f>
        <v>0</v>
      </c>
      <c r="F50" s="173">
        <f>'הוצאות ידני'!E25</f>
        <v>0</v>
      </c>
      <c r="G50" s="173">
        <f>'הוצאות ידני'!F25</f>
        <v>0</v>
      </c>
      <c r="H50" s="173">
        <f>'הוצאות ידני'!G25</f>
        <v>0</v>
      </c>
      <c r="I50" s="173">
        <f>'הוצאות ידני'!H25</f>
        <v>0</v>
      </c>
      <c r="J50" s="173">
        <f>'הוצאות ידני'!I25</f>
        <v>0</v>
      </c>
      <c r="K50" s="173">
        <f>'הוצאות ידני'!J25</f>
        <v>0</v>
      </c>
      <c r="L50" s="173">
        <f>'הוצאות ידני'!K25</f>
        <v>0</v>
      </c>
      <c r="M50" s="173">
        <f>'הוצאות ידני'!L25</f>
        <v>0</v>
      </c>
      <c r="N50" s="173">
        <f>'הוצאות ידני'!M25</f>
        <v>0</v>
      </c>
      <c r="O50" s="166">
        <f t="shared" si="4"/>
        <v>0</v>
      </c>
    </row>
    <row r="51" spans="1:15" ht="15.75" hidden="1" outlineLevel="1" thickBot="1">
      <c r="A51" s="186"/>
      <c r="B51" s="17" t="s">
        <v>612</v>
      </c>
      <c r="C51" s="172">
        <f>'הוצאות ידני'!B26</f>
        <v>0</v>
      </c>
      <c r="D51" s="173">
        <f>'הוצאות ידני'!C26</f>
        <v>0</v>
      </c>
      <c r="E51" s="173">
        <f>'הוצאות ידני'!D26</f>
        <v>0</v>
      </c>
      <c r="F51" s="173">
        <f>'הוצאות ידני'!E26</f>
        <v>0</v>
      </c>
      <c r="G51" s="173">
        <f>'הוצאות ידני'!F26</f>
        <v>0</v>
      </c>
      <c r="H51" s="173">
        <f>'הוצאות ידני'!G26</f>
        <v>5000</v>
      </c>
      <c r="I51" s="173">
        <f>'הוצאות ידני'!H26</f>
        <v>0</v>
      </c>
      <c r="J51" s="173">
        <f>'הוצאות ידני'!I26</f>
        <v>0</v>
      </c>
      <c r="K51" s="173">
        <f>'הוצאות ידני'!J26</f>
        <v>0</v>
      </c>
      <c r="L51" s="173">
        <f>'הוצאות ידני'!K26</f>
        <v>0</v>
      </c>
      <c r="M51" s="173">
        <f>'הוצאות ידני'!L26</f>
        <v>0</v>
      </c>
      <c r="N51" s="173">
        <f>'הוצאות ידני'!M26</f>
        <v>0</v>
      </c>
      <c r="O51" s="166">
        <f t="shared" si="0"/>
        <v>5000</v>
      </c>
    </row>
    <row r="52" spans="1:15" ht="15.75" collapsed="1" thickBot="1">
      <c r="A52" s="187"/>
      <c r="B52" s="14" t="s">
        <v>57</v>
      </c>
      <c r="C52" s="167">
        <f t="shared" ref="C52:N52" si="5">SUM(C27:C51)</f>
        <v>3000.85</v>
      </c>
      <c r="D52" s="168">
        <f t="shared" si="5"/>
        <v>26929.15</v>
      </c>
      <c r="E52" s="168">
        <f t="shared" si="5"/>
        <v>3590.11</v>
      </c>
      <c r="F52" s="168">
        <f t="shared" si="5"/>
        <v>4870.04</v>
      </c>
      <c r="G52" s="168">
        <f t="shared" si="5"/>
        <v>43006.43</v>
      </c>
      <c r="H52" s="168">
        <f t="shared" si="5"/>
        <v>24763.43</v>
      </c>
      <c r="I52" s="168">
        <f t="shared" si="5"/>
        <v>26049.040000000001</v>
      </c>
      <c r="J52" s="168">
        <f t="shared" si="5"/>
        <v>4743.5200000000004</v>
      </c>
      <c r="K52" s="168">
        <f t="shared" si="5"/>
        <v>4700</v>
      </c>
      <c r="L52" s="168">
        <f t="shared" si="5"/>
        <v>3798.7599999999998</v>
      </c>
      <c r="M52" s="168">
        <f t="shared" si="5"/>
        <v>4700</v>
      </c>
      <c r="N52" s="168">
        <f t="shared" si="5"/>
        <v>3812.73</v>
      </c>
      <c r="O52" s="169">
        <f t="shared" si="0"/>
        <v>153964.06000000003</v>
      </c>
    </row>
    <row r="53" spans="1:15">
      <c r="A53" s="185" t="s">
        <v>59</v>
      </c>
      <c r="B53" s="16" t="s">
        <v>23</v>
      </c>
      <c r="C53" s="171">
        <f t="shared" ref="C53:N53" ca="1" si="6">C27+C2</f>
        <v>0</v>
      </c>
      <c r="D53" s="87">
        <f t="shared" ca="1" si="6"/>
        <v>1980.3999999999999</v>
      </c>
      <c r="E53" s="87">
        <f t="shared" ca="1" si="6"/>
        <v>115</v>
      </c>
      <c r="F53" s="87">
        <f t="shared" ca="1" si="6"/>
        <v>0</v>
      </c>
      <c r="G53" s="87">
        <f t="shared" ca="1" si="6"/>
        <v>212.4</v>
      </c>
      <c r="H53" s="87">
        <f t="shared" ca="1" si="6"/>
        <v>0</v>
      </c>
      <c r="I53" s="87">
        <f t="shared" ca="1" si="6"/>
        <v>50</v>
      </c>
      <c r="J53" s="87">
        <f t="shared" ca="1" si="6"/>
        <v>0</v>
      </c>
      <c r="K53" s="87">
        <f t="shared" ca="1" si="6"/>
        <v>0</v>
      </c>
      <c r="L53" s="87">
        <f t="shared" ca="1" si="6"/>
        <v>0</v>
      </c>
      <c r="M53" s="87">
        <f t="shared" ca="1" si="6"/>
        <v>0</v>
      </c>
      <c r="N53" s="87">
        <f t="shared" ca="1" si="6"/>
        <v>0</v>
      </c>
      <c r="O53" s="88">
        <f t="shared" ca="1" si="0"/>
        <v>2357.7999999999997</v>
      </c>
    </row>
    <row r="54" spans="1:15">
      <c r="A54" s="186"/>
      <c r="B54" s="16" t="s">
        <v>27</v>
      </c>
      <c r="C54" s="171">
        <f t="shared" ref="C54:N54" ca="1" si="7">C28+C3</f>
        <v>553.75</v>
      </c>
      <c r="D54" s="87">
        <f t="shared" ca="1" si="7"/>
        <v>711.4</v>
      </c>
      <c r="E54" s="87">
        <f t="shared" ca="1" si="7"/>
        <v>998.23</v>
      </c>
      <c r="F54" s="87">
        <f t="shared" ca="1" si="7"/>
        <v>1216.3400000000001</v>
      </c>
      <c r="G54" s="87">
        <f t="shared" ca="1" si="7"/>
        <v>1220.0800000000002</v>
      </c>
      <c r="H54" s="87">
        <f t="shared" ca="1" si="7"/>
        <v>697.03000000000009</v>
      </c>
      <c r="I54" s="87">
        <f t="shared" ca="1" si="7"/>
        <v>732.46</v>
      </c>
      <c r="J54" s="87">
        <f t="shared" ca="1" si="7"/>
        <v>0</v>
      </c>
      <c r="K54" s="87">
        <f t="shared" ca="1" si="7"/>
        <v>0</v>
      </c>
      <c r="L54" s="87">
        <f t="shared" ca="1" si="7"/>
        <v>0</v>
      </c>
      <c r="M54" s="87">
        <f t="shared" ca="1" si="7"/>
        <v>0</v>
      </c>
      <c r="N54" s="87">
        <f t="shared" ca="1" si="7"/>
        <v>0</v>
      </c>
      <c r="O54" s="88">
        <f t="shared" ca="1" si="0"/>
        <v>6129.29</v>
      </c>
    </row>
    <row r="55" spans="1:15">
      <c r="A55" s="186"/>
      <c r="B55" s="16" t="s">
        <v>19</v>
      </c>
      <c r="C55" s="171">
        <f t="shared" ref="C55:N55" ca="1" si="8">C29+C4</f>
        <v>70</v>
      </c>
      <c r="D55" s="87">
        <f t="shared" ca="1" si="8"/>
        <v>861</v>
      </c>
      <c r="E55" s="87">
        <f t="shared" ca="1" si="8"/>
        <v>272</v>
      </c>
      <c r="F55" s="87">
        <f t="shared" ca="1" si="8"/>
        <v>49</v>
      </c>
      <c r="G55" s="87">
        <f t="shared" ca="1" si="8"/>
        <v>0</v>
      </c>
      <c r="H55" s="87">
        <f t="shared" ca="1" si="8"/>
        <v>1135</v>
      </c>
      <c r="I55" s="87">
        <f t="shared" ca="1" si="8"/>
        <v>141.4</v>
      </c>
      <c r="J55" s="87">
        <f t="shared" ca="1" si="8"/>
        <v>0</v>
      </c>
      <c r="K55" s="87">
        <f t="shared" ca="1" si="8"/>
        <v>0</v>
      </c>
      <c r="L55" s="87">
        <f t="shared" ca="1" si="8"/>
        <v>0</v>
      </c>
      <c r="M55" s="87">
        <f t="shared" ca="1" si="8"/>
        <v>0</v>
      </c>
      <c r="N55" s="87">
        <f t="shared" ca="1" si="8"/>
        <v>0</v>
      </c>
      <c r="O55" s="88">
        <f t="shared" ca="1" si="0"/>
        <v>2528.4</v>
      </c>
    </row>
    <row r="56" spans="1:15">
      <c r="A56" s="186"/>
      <c r="B56" s="16" t="s">
        <v>26</v>
      </c>
      <c r="C56" s="171">
        <f t="shared" ref="C56:N56" ca="1" si="9">C30+C5</f>
        <v>946.49</v>
      </c>
      <c r="D56" s="87">
        <f t="shared" ca="1" si="9"/>
        <v>2530.19</v>
      </c>
      <c r="E56" s="87">
        <f t="shared" ca="1" si="9"/>
        <v>1053.6199999999999</v>
      </c>
      <c r="F56" s="87">
        <f t="shared" ca="1" si="9"/>
        <v>2391.62</v>
      </c>
      <c r="G56" s="87">
        <f t="shared" ca="1" si="9"/>
        <v>486.5</v>
      </c>
      <c r="H56" s="87">
        <f t="shared" ca="1" si="9"/>
        <v>2366.79</v>
      </c>
      <c r="I56" s="87">
        <f t="shared" ca="1" si="9"/>
        <v>997.33</v>
      </c>
      <c r="J56" s="87">
        <f t="shared" ca="1" si="9"/>
        <v>1942.67</v>
      </c>
      <c r="K56" s="87">
        <f t="shared" ca="1" si="9"/>
        <v>0</v>
      </c>
      <c r="L56" s="87">
        <f t="shared" ca="1" si="9"/>
        <v>1947.91</v>
      </c>
      <c r="M56" s="87">
        <f t="shared" ca="1" si="9"/>
        <v>0</v>
      </c>
      <c r="N56" s="87">
        <f t="shared" ca="1" si="9"/>
        <v>1962.73</v>
      </c>
      <c r="O56" s="88">
        <f t="shared" ca="1" si="0"/>
        <v>16625.849999999999</v>
      </c>
    </row>
    <row r="57" spans="1:15">
      <c r="A57" s="186"/>
      <c r="B57" s="16" t="s">
        <v>34</v>
      </c>
      <c r="C57" s="171">
        <f t="shared" ref="C57:N57" ca="1" si="10">C31+C6</f>
        <v>750</v>
      </c>
      <c r="D57" s="87">
        <f t="shared" ca="1" si="10"/>
        <v>746</v>
      </c>
      <c r="E57" s="87">
        <f t="shared" ca="1" si="10"/>
        <v>746</v>
      </c>
      <c r="F57" s="87">
        <f t="shared" ca="1" si="10"/>
        <v>746</v>
      </c>
      <c r="G57" s="87">
        <f t="shared" ca="1" si="10"/>
        <v>0</v>
      </c>
      <c r="H57" s="87">
        <f t="shared" ca="1" si="10"/>
        <v>0</v>
      </c>
      <c r="I57" s="87">
        <f t="shared" ca="1" si="10"/>
        <v>0</v>
      </c>
      <c r="J57" s="87">
        <f t="shared" ca="1" si="10"/>
        <v>0</v>
      </c>
      <c r="K57" s="87">
        <f t="shared" ca="1" si="10"/>
        <v>0</v>
      </c>
      <c r="L57" s="87">
        <f t="shared" ca="1" si="10"/>
        <v>0</v>
      </c>
      <c r="M57" s="87">
        <f t="shared" ca="1" si="10"/>
        <v>0</v>
      </c>
      <c r="N57" s="87">
        <f t="shared" ca="1" si="10"/>
        <v>0</v>
      </c>
      <c r="O57" s="88">
        <f t="shared" ca="1" si="0"/>
        <v>2988</v>
      </c>
    </row>
    <row r="58" spans="1:15">
      <c r="A58" s="186"/>
      <c r="B58" s="16" t="s">
        <v>24</v>
      </c>
      <c r="C58" s="171">
        <f t="shared" ref="C58:N58" ca="1" si="11">C32+C7</f>
        <v>413.41</v>
      </c>
      <c r="D58" s="87">
        <f t="shared" ca="1" si="11"/>
        <v>862.43</v>
      </c>
      <c r="E58" s="87">
        <f t="shared" ca="1" si="11"/>
        <v>674.51</v>
      </c>
      <c r="F58" s="87">
        <f t="shared" ca="1" si="11"/>
        <v>549.65</v>
      </c>
      <c r="G58" s="87">
        <f t="shared" ca="1" si="11"/>
        <v>265.42</v>
      </c>
      <c r="H58" s="87">
        <f t="shared" ca="1" si="11"/>
        <v>1641.86</v>
      </c>
      <c r="I58" s="87">
        <f t="shared" ca="1" si="11"/>
        <v>493.64</v>
      </c>
      <c r="J58" s="87">
        <f t="shared" ca="1" si="11"/>
        <v>0</v>
      </c>
      <c r="K58" s="87">
        <f t="shared" ca="1" si="11"/>
        <v>0</v>
      </c>
      <c r="L58" s="87">
        <f t="shared" ca="1" si="11"/>
        <v>0</v>
      </c>
      <c r="M58" s="87">
        <f t="shared" ca="1" si="11"/>
        <v>0</v>
      </c>
      <c r="N58" s="87">
        <f t="shared" ca="1" si="11"/>
        <v>0</v>
      </c>
      <c r="O58" s="88">
        <f t="shared" ca="1" si="0"/>
        <v>4900.92</v>
      </c>
    </row>
    <row r="59" spans="1:15">
      <c r="A59" s="186"/>
      <c r="B59" s="16" t="s">
        <v>29</v>
      </c>
      <c r="C59" s="171">
        <f t="shared" ref="C59:N59" ca="1" si="12">C33+C8</f>
        <v>0</v>
      </c>
      <c r="D59" s="87">
        <f t="shared" ca="1" si="12"/>
        <v>0</v>
      </c>
      <c r="E59" s="87">
        <f t="shared" ca="1" si="12"/>
        <v>565</v>
      </c>
      <c r="F59" s="87">
        <f t="shared" ca="1" si="12"/>
        <v>0</v>
      </c>
      <c r="G59" s="87">
        <f t="shared" ca="1" si="12"/>
        <v>0</v>
      </c>
      <c r="H59" s="87">
        <f t="shared" ca="1" si="12"/>
        <v>0</v>
      </c>
      <c r="I59" s="87">
        <f t="shared" ca="1" si="12"/>
        <v>0</v>
      </c>
      <c r="J59" s="87">
        <f t="shared" ca="1" si="12"/>
        <v>0</v>
      </c>
      <c r="K59" s="87">
        <f t="shared" ca="1" si="12"/>
        <v>0</v>
      </c>
      <c r="L59" s="87">
        <f t="shared" ca="1" si="12"/>
        <v>0</v>
      </c>
      <c r="M59" s="87">
        <f t="shared" ca="1" si="12"/>
        <v>0</v>
      </c>
      <c r="N59" s="87">
        <f t="shared" ca="1" si="12"/>
        <v>0</v>
      </c>
      <c r="O59" s="88">
        <f t="shared" ca="1" si="0"/>
        <v>565</v>
      </c>
    </row>
    <row r="60" spans="1:15">
      <c r="A60" s="186"/>
      <c r="B60" s="16" t="s">
        <v>35</v>
      </c>
      <c r="C60" s="171">
        <f t="shared" ref="C60:N60" ca="1" si="13">C34+C9</f>
        <v>1855</v>
      </c>
      <c r="D60" s="87">
        <f t="shared" ca="1" si="13"/>
        <v>2175</v>
      </c>
      <c r="E60" s="87">
        <f t="shared" ca="1" si="13"/>
        <v>2865</v>
      </c>
      <c r="F60" s="87">
        <f t="shared" ca="1" si="13"/>
        <v>1080</v>
      </c>
      <c r="G60" s="87">
        <f t="shared" ca="1" si="13"/>
        <v>9091</v>
      </c>
      <c r="H60" s="87">
        <f t="shared" ca="1" si="13"/>
        <v>1510</v>
      </c>
      <c r="I60" s="87">
        <f t="shared" ca="1" si="13"/>
        <v>1070</v>
      </c>
      <c r="J60" s="87">
        <f t="shared" ca="1" si="13"/>
        <v>0</v>
      </c>
      <c r="K60" s="87">
        <f t="shared" ca="1" si="13"/>
        <v>200</v>
      </c>
      <c r="L60" s="87">
        <f t="shared" ca="1" si="13"/>
        <v>200</v>
      </c>
      <c r="M60" s="87">
        <f t="shared" ca="1" si="13"/>
        <v>200</v>
      </c>
      <c r="N60" s="87">
        <f t="shared" ca="1" si="13"/>
        <v>200</v>
      </c>
      <c r="O60" s="88">
        <f t="shared" ca="1" si="0"/>
        <v>20446</v>
      </c>
    </row>
    <row r="61" spans="1:15">
      <c r="A61" s="186"/>
      <c r="B61" s="16" t="s">
        <v>20</v>
      </c>
      <c r="C61" s="171">
        <f t="shared" ref="C61:N61" ca="1" si="14">C35+C10</f>
        <v>0</v>
      </c>
      <c r="D61" s="87">
        <f t="shared" ca="1" si="14"/>
        <v>5250</v>
      </c>
      <c r="E61" s="87">
        <f t="shared" ca="1" si="14"/>
        <v>5250</v>
      </c>
      <c r="F61" s="87">
        <f t="shared" ca="1" si="14"/>
        <v>0</v>
      </c>
      <c r="G61" s="87">
        <f t="shared" ca="1" si="14"/>
        <v>0</v>
      </c>
      <c r="H61" s="87">
        <f t="shared" ca="1" si="14"/>
        <v>0</v>
      </c>
      <c r="I61" s="87">
        <f t="shared" ca="1" si="14"/>
        <v>0</v>
      </c>
      <c r="J61" s="87">
        <f t="shared" ca="1" si="14"/>
        <v>0</v>
      </c>
      <c r="K61" s="87">
        <f t="shared" ca="1" si="14"/>
        <v>0</v>
      </c>
      <c r="L61" s="87">
        <f t="shared" ca="1" si="14"/>
        <v>0</v>
      </c>
      <c r="M61" s="87">
        <f t="shared" ca="1" si="14"/>
        <v>0</v>
      </c>
      <c r="N61" s="87">
        <f t="shared" ca="1" si="14"/>
        <v>0</v>
      </c>
      <c r="O61" s="88">
        <f t="shared" ca="1" si="0"/>
        <v>10500</v>
      </c>
    </row>
    <row r="62" spans="1:15">
      <c r="A62" s="186"/>
      <c r="B62" s="16" t="s">
        <v>75</v>
      </c>
      <c r="C62" s="171">
        <f t="shared" ref="C62:N62" ca="1" si="15">C36+C11</f>
        <v>1650.85</v>
      </c>
      <c r="D62" s="87">
        <f t="shared" ca="1" si="15"/>
        <v>1671.3200000000002</v>
      </c>
      <c r="E62" s="87">
        <f t="shared" ca="1" si="15"/>
        <v>1675.1100000000001</v>
      </c>
      <c r="F62" s="87">
        <f t="shared" ca="1" si="15"/>
        <v>1652.74</v>
      </c>
      <c r="G62" s="87">
        <f t="shared" ca="1" si="15"/>
        <v>1656.4299999999998</v>
      </c>
      <c r="H62" s="87">
        <f t="shared" ca="1" si="15"/>
        <v>1650</v>
      </c>
      <c r="I62" s="87">
        <f t="shared" ca="1" si="15"/>
        <v>1699.04</v>
      </c>
      <c r="J62" s="87">
        <f t="shared" ca="1" si="15"/>
        <v>1650.85</v>
      </c>
      <c r="K62" s="87">
        <f t="shared" ca="1" si="15"/>
        <v>1650</v>
      </c>
      <c r="L62" s="87">
        <f t="shared" ca="1" si="15"/>
        <v>1650.85</v>
      </c>
      <c r="M62" s="87">
        <f t="shared" ca="1" si="15"/>
        <v>1650</v>
      </c>
      <c r="N62" s="87">
        <f t="shared" ca="1" si="15"/>
        <v>1650</v>
      </c>
      <c r="O62" s="88">
        <f t="shared" ca="1" si="0"/>
        <v>19907.190000000002</v>
      </c>
    </row>
    <row r="63" spans="1:15">
      <c r="A63" s="186"/>
      <c r="B63" s="16" t="s">
        <v>39</v>
      </c>
      <c r="C63" s="171">
        <f t="shared" ref="C63:N63" ca="1" si="16">C37+C12</f>
        <v>0</v>
      </c>
      <c r="D63" s="87">
        <f t="shared" ca="1" si="16"/>
        <v>0</v>
      </c>
      <c r="E63" s="87">
        <f t="shared" ca="1" si="16"/>
        <v>658.77</v>
      </c>
      <c r="F63" s="87">
        <f t="shared" ca="1" si="16"/>
        <v>65</v>
      </c>
      <c r="G63" s="87">
        <f t="shared" ca="1" si="16"/>
        <v>1169.9000000000001</v>
      </c>
      <c r="H63" s="87">
        <f t="shared" ca="1" si="16"/>
        <v>799.9</v>
      </c>
      <c r="I63" s="87">
        <f t="shared" ca="1" si="16"/>
        <v>210</v>
      </c>
      <c r="J63" s="87">
        <f t="shared" ca="1" si="16"/>
        <v>0</v>
      </c>
      <c r="K63" s="87">
        <f t="shared" ca="1" si="16"/>
        <v>0</v>
      </c>
      <c r="L63" s="87">
        <f t="shared" ca="1" si="16"/>
        <v>0</v>
      </c>
      <c r="M63" s="87">
        <f t="shared" ca="1" si="16"/>
        <v>0</v>
      </c>
      <c r="N63" s="87">
        <f t="shared" ca="1" si="16"/>
        <v>0</v>
      </c>
      <c r="O63" s="88">
        <f t="shared" ca="1" si="0"/>
        <v>2903.57</v>
      </c>
    </row>
    <row r="64" spans="1:15">
      <c r="A64" s="186"/>
      <c r="B64" s="16" t="s">
        <v>25</v>
      </c>
      <c r="C64" s="171">
        <f t="shared" ref="C64:N64" ca="1" si="17">C38+C13</f>
        <v>1660.7699999999998</v>
      </c>
      <c r="D64" s="87">
        <f t="shared" ca="1" si="17"/>
        <v>392.1</v>
      </c>
      <c r="E64" s="87">
        <f t="shared" ca="1" si="17"/>
        <v>1527.4599999999998</v>
      </c>
      <c r="F64" s="87">
        <f t="shared" ca="1" si="17"/>
        <v>566.43999999999994</v>
      </c>
      <c r="G64" s="87">
        <f t="shared" ca="1" si="17"/>
        <v>404.12</v>
      </c>
      <c r="H64" s="87">
        <f t="shared" ca="1" si="17"/>
        <v>1671.3</v>
      </c>
      <c r="I64" s="87">
        <f t="shared" ca="1" si="17"/>
        <v>1003.9300000000001</v>
      </c>
      <c r="J64" s="87">
        <f t="shared" ca="1" si="17"/>
        <v>0</v>
      </c>
      <c r="K64" s="87">
        <f t="shared" ca="1" si="17"/>
        <v>0</v>
      </c>
      <c r="L64" s="87">
        <f t="shared" ca="1" si="17"/>
        <v>0</v>
      </c>
      <c r="M64" s="87">
        <f t="shared" ca="1" si="17"/>
        <v>0</v>
      </c>
      <c r="N64" s="87">
        <f t="shared" ca="1" si="17"/>
        <v>0</v>
      </c>
      <c r="O64" s="88">
        <f t="shared" ca="1" si="0"/>
        <v>7226.12</v>
      </c>
    </row>
    <row r="65" spans="1:17">
      <c r="A65" s="186"/>
      <c r="B65" s="16" t="s">
        <v>31</v>
      </c>
      <c r="C65" s="171">
        <f t="shared" ref="C65:N65" ca="1" si="18">C39+C14</f>
        <v>0</v>
      </c>
      <c r="D65" s="87">
        <f t="shared" ca="1" si="18"/>
        <v>0</v>
      </c>
      <c r="E65" s="87">
        <f t="shared" ca="1" si="18"/>
        <v>0</v>
      </c>
      <c r="F65" s="87">
        <f t="shared" ca="1" si="18"/>
        <v>0</v>
      </c>
      <c r="G65" s="87">
        <f t="shared" ca="1" si="18"/>
        <v>0</v>
      </c>
      <c r="H65" s="87">
        <f t="shared" ca="1" si="18"/>
        <v>0</v>
      </c>
      <c r="I65" s="87">
        <f t="shared" ca="1" si="18"/>
        <v>0</v>
      </c>
      <c r="J65" s="87">
        <f t="shared" ca="1" si="18"/>
        <v>0</v>
      </c>
      <c r="K65" s="87">
        <f t="shared" ca="1" si="18"/>
        <v>0</v>
      </c>
      <c r="L65" s="87">
        <f t="shared" ca="1" si="18"/>
        <v>0</v>
      </c>
      <c r="M65" s="87">
        <f t="shared" ca="1" si="18"/>
        <v>0</v>
      </c>
      <c r="N65" s="87">
        <f t="shared" ca="1" si="18"/>
        <v>0</v>
      </c>
      <c r="O65" s="88">
        <f t="shared" ca="1" si="0"/>
        <v>0</v>
      </c>
    </row>
    <row r="66" spans="1:17">
      <c r="A66" s="186"/>
      <c r="B66" s="16" t="s">
        <v>22</v>
      </c>
      <c r="C66" s="171">
        <f t="shared" ref="C66:N66" ca="1" si="19">C40+C15</f>
        <v>5448.09</v>
      </c>
      <c r="D66" s="87">
        <f t="shared" ca="1" si="19"/>
        <v>5381.6000000000013</v>
      </c>
      <c r="E66" s="87">
        <f t="shared" ca="1" si="19"/>
        <v>5415.8100000000013</v>
      </c>
      <c r="F66" s="87">
        <f t="shared" ca="1" si="19"/>
        <v>5895.1800000000012</v>
      </c>
      <c r="G66" s="87">
        <f t="shared" ca="1" si="19"/>
        <v>3378.0000000000005</v>
      </c>
      <c r="H66" s="87">
        <f t="shared" ca="1" si="19"/>
        <v>4717.0699999999988</v>
      </c>
      <c r="I66" s="87">
        <f t="shared" ca="1" si="19"/>
        <v>5208.1900000000005</v>
      </c>
      <c r="J66" s="87">
        <f t="shared" ca="1" si="19"/>
        <v>0</v>
      </c>
      <c r="K66" s="87">
        <f ca="1">K40+K15</f>
        <v>0</v>
      </c>
      <c r="L66" s="87">
        <f t="shared" ca="1" si="19"/>
        <v>0</v>
      </c>
      <c r="M66" s="87">
        <f t="shared" ca="1" si="19"/>
        <v>0</v>
      </c>
      <c r="N66" s="87">
        <f t="shared" ca="1" si="19"/>
        <v>0</v>
      </c>
      <c r="O66" s="88">
        <f t="shared" ca="1" si="0"/>
        <v>35443.94</v>
      </c>
      <c r="Q66" s="9"/>
    </row>
    <row r="67" spans="1:17">
      <c r="A67" s="186"/>
      <c r="B67" s="16" t="s">
        <v>1254</v>
      </c>
      <c r="C67" s="171">
        <f t="shared" ref="C67:N67" ca="1" si="20">C41+C16</f>
        <v>1150</v>
      </c>
      <c r="D67" s="87">
        <f t="shared" ca="1" si="20"/>
        <v>1150</v>
      </c>
      <c r="E67" s="87">
        <f t="shared" ca="1" si="20"/>
        <v>1150</v>
      </c>
      <c r="F67" s="87">
        <f t="shared" ca="1" si="20"/>
        <v>1150</v>
      </c>
      <c r="G67" s="87">
        <f t="shared" ca="1" si="20"/>
        <v>1150</v>
      </c>
      <c r="H67" s="87">
        <f t="shared" ca="1" si="20"/>
        <v>1150</v>
      </c>
      <c r="I67" s="87">
        <f t="shared" ca="1" si="20"/>
        <v>1150</v>
      </c>
      <c r="J67" s="87">
        <f t="shared" ca="1" si="20"/>
        <v>1150</v>
      </c>
      <c r="K67" s="87">
        <f t="shared" ca="1" si="20"/>
        <v>2850</v>
      </c>
      <c r="L67" s="87">
        <f t="shared" ca="1" si="20"/>
        <v>0</v>
      </c>
      <c r="M67" s="87">
        <f t="shared" ca="1" si="20"/>
        <v>2850</v>
      </c>
      <c r="N67" s="87">
        <f t="shared" ca="1" si="20"/>
        <v>0</v>
      </c>
      <c r="O67" s="88">
        <f t="shared" ca="1" si="0"/>
        <v>14900</v>
      </c>
      <c r="Q67" s="9"/>
    </row>
    <row r="68" spans="1:17">
      <c r="A68" s="186"/>
      <c r="B68" s="16" t="s">
        <v>32</v>
      </c>
      <c r="C68" s="171">
        <f t="shared" ref="C68:N68" ca="1" si="21">C42+C17</f>
        <v>270</v>
      </c>
      <c r="D68" s="87">
        <f t="shared" ca="1" si="21"/>
        <v>741.4</v>
      </c>
      <c r="E68" s="87">
        <f t="shared" ca="1" si="21"/>
        <v>1576.9000000000003</v>
      </c>
      <c r="F68" s="87">
        <f t="shared" ca="1" si="21"/>
        <v>602.06999999999994</v>
      </c>
      <c r="G68" s="87">
        <f t="shared" ca="1" si="21"/>
        <v>228.71</v>
      </c>
      <c r="H68" s="87">
        <f t="shared" ca="1" si="21"/>
        <v>1971.72</v>
      </c>
      <c r="I68" s="87">
        <f t="shared" ca="1" si="21"/>
        <v>539.07000000000005</v>
      </c>
      <c r="J68" s="87">
        <f t="shared" ca="1" si="21"/>
        <v>0</v>
      </c>
      <c r="K68" s="87">
        <f t="shared" ca="1" si="21"/>
        <v>0</v>
      </c>
      <c r="L68" s="87">
        <f t="shared" ca="1" si="21"/>
        <v>0</v>
      </c>
      <c r="M68" s="87">
        <f t="shared" ca="1" si="21"/>
        <v>0</v>
      </c>
      <c r="N68" s="87">
        <f t="shared" ca="1" si="21"/>
        <v>0</v>
      </c>
      <c r="O68" s="88">
        <f t="shared" ca="1" si="0"/>
        <v>5929.87</v>
      </c>
    </row>
    <row r="69" spans="1:17" ht="14.25" hidden="1" customHeight="1">
      <c r="A69" s="186"/>
      <c r="B69" s="16" t="s">
        <v>84</v>
      </c>
      <c r="C69" s="171">
        <f t="shared" ref="C69:N69" ca="1" si="22">C44+C19</f>
        <v>0</v>
      </c>
      <c r="D69" s="87">
        <f t="shared" ca="1" si="22"/>
        <v>0</v>
      </c>
      <c r="E69" s="87">
        <f t="shared" ca="1" si="22"/>
        <v>0</v>
      </c>
      <c r="F69" s="87">
        <f t="shared" ca="1" si="22"/>
        <v>0</v>
      </c>
      <c r="G69" s="87">
        <f t="shared" ca="1" si="22"/>
        <v>0</v>
      </c>
      <c r="H69" s="87">
        <f t="shared" ca="1" si="22"/>
        <v>0</v>
      </c>
      <c r="I69" s="87">
        <f t="shared" ca="1" si="22"/>
        <v>0</v>
      </c>
      <c r="J69" s="87">
        <f t="shared" ca="1" si="22"/>
        <v>0</v>
      </c>
      <c r="K69" s="87">
        <f t="shared" ca="1" si="22"/>
        <v>0</v>
      </c>
      <c r="L69" s="87">
        <f t="shared" ca="1" si="22"/>
        <v>0</v>
      </c>
      <c r="M69" s="87">
        <f t="shared" ca="1" si="22"/>
        <v>0</v>
      </c>
      <c r="N69" s="87">
        <f t="shared" ca="1" si="22"/>
        <v>0</v>
      </c>
      <c r="O69" s="88">
        <f t="shared" ca="1" si="0"/>
        <v>0</v>
      </c>
    </row>
    <row r="70" spans="1:17" ht="14.25" customHeight="1">
      <c r="A70" s="186"/>
      <c r="B70" s="15" t="s">
        <v>18</v>
      </c>
      <c r="C70" s="170">
        <f t="shared" ref="C70:N70" ca="1" si="23">C43+C18</f>
        <v>9389.2999999999993</v>
      </c>
      <c r="D70" s="163">
        <f t="shared" ca="1" si="23"/>
        <v>9429.1999999999989</v>
      </c>
      <c r="E70" s="163">
        <f t="shared" ca="1" si="23"/>
        <v>885.94</v>
      </c>
      <c r="F70" s="163">
        <f t="shared" ca="1" si="23"/>
        <v>964.8</v>
      </c>
      <c r="G70" s="163">
        <f t="shared" ca="1" si="23"/>
        <v>49</v>
      </c>
      <c r="H70" s="163">
        <f t="shared" ca="1" si="23"/>
        <v>16128.23</v>
      </c>
      <c r="I70" s="163">
        <f t="shared" ca="1" si="23"/>
        <v>2753.01</v>
      </c>
      <c r="J70" s="163">
        <f t="shared" ca="1" si="23"/>
        <v>0</v>
      </c>
      <c r="K70" s="163">
        <f t="shared" ca="1" si="23"/>
        <v>0</v>
      </c>
      <c r="L70" s="163">
        <f t="shared" ca="1" si="23"/>
        <v>0</v>
      </c>
      <c r="M70" s="163">
        <f t="shared" ca="1" si="23"/>
        <v>0</v>
      </c>
      <c r="N70" s="163">
        <f t="shared" ca="1" si="23"/>
        <v>0</v>
      </c>
      <c r="O70" s="164">
        <f ca="1">SUM(C70:N70)</f>
        <v>39599.480000000003</v>
      </c>
    </row>
    <row r="71" spans="1:17">
      <c r="A71" s="186"/>
      <c r="B71" s="16" t="s">
        <v>28</v>
      </c>
      <c r="C71" s="171">
        <f t="shared" ref="C71:N71" ca="1" si="24">C45+C20</f>
        <v>866.43</v>
      </c>
      <c r="D71" s="87">
        <f t="shared" ca="1" si="24"/>
        <v>669.2</v>
      </c>
      <c r="E71" s="87">
        <f t="shared" ca="1" si="24"/>
        <v>967.1</v>
      </c>
      <c r="F71" s="87">
        <f t="shared" ca="1" si="24"/>
        <v>59.7</v>
      </c>
      <c r="G71" s="87">
        <f t="shared" ca="1" si="24"/>
        <v>2442.79</v>
      </c>
      <c r="H71" s="87">
        <f t="shared" ca="1" si="24"/>
        <v>3229.5999999999995</v>
      </c>
      <c r="I71" s="87">
        <f t="shared" ca="1" si="24"/>
        <v>3472.57</v>
      </c>
      <c r="J71" s="87">
        <f t="shared" ca="1" si="24"/>
        <v>0</v>
      </c>
      <c r="K71" s="87">
        <f t="shared" ca="1" si="24"/>
        <v>0</v>
      </c>
      <c r="L71" s="87">
        <f t="shared" ca="1" si="24"/>
        <v>0</v>
      </c>
      <c r="M71" s="87">
        <f t="shared" ca="1" si="24"/>
        <v>0</v>
      </c>
      <c r="N71" s="87">
        <f t="shared" ca="1" si="24"/>
        <v>0</v>
      </c>
      <c r="O71" s="88">
        <f t="shared" ca="1" si="0"/>
        <v>11707.39</v>
      </c>
    </row>
    <row r="72" spans="1:17">
      <c r="A72" s="186"/>
      <c r="B72" s="16" t="s">
        <v>5</v>
      </c>
      <c r="C72" s="171">
        <f t="shared" ref="C72:N72" ca="1" si="25">C46+C21</f>
        <v>30</v>
      </c>
      <c r="D72" s="87">
        <f t="shared" ca="1" si="25"/>
        <v>30</v>
      </c>
      <c r="E72" s="87">
        <f t="shared" ca="1" si="25"/>
        <v>30.19</v>
      </c>
      <c r="F72" s="87">
        <f t="shared" ca="1" si="25"/>
        <v>30</v>
      </c>
      <c r="G72" s="87">
        <f t="shared" ca="1" si="25"/>
        <v>30</v>
      </c>
      <c r="H72" s="87">
        <f t="shared" ca="1" si="25"/>
        <v>30</v>
      </c>
      <c r="I72" s="87">
        <f t="shared" ca="1" si="25"/>
        <v>30</v>
      </c>
      <c r="J72" s="87">
        <f t="shared" ca="1" si="25"/>
        <v>0</v>
      </c>
      <c r="K72" s="87">
        <f t="shared" ca="1" si="25"/>
        <v>0</v>
      </c>
      <c r="L72" s="87">
        <f t="shared" ca="1" si="25"/>
        <v>0</v>
      </c>
      <c r="M72" s="87">
        <f t="shared" ca="1" si="25"/>
        <v>0</v>
      </c>
      <c r="N72" s="87">
        <f t="shared" ca="1" si="25"/>
        <v>0</v>
      </c>
      <c r="O72" s="88">
        <f t="shared" ca="1" si="0"/>
        <v>210.19</v>
      </c>
    </row>
    <row r="73" spans="1:17">
      <c r="A73" s="186"/>
      <c r="B73" s="17" t="s">
        <v>30</v>
      </c>
      <c r="C73" s="171">
        <f ca="1">C47+C22</f>
        <v>0</v>
      </c>
      <c r="D73" s="87">
        <f t="shared" ref="D73:N73" ca="1" si="26">D47+D22</f>
        <v>0</v>
      </c>
      <c r="E73" s="87">
        <f t="shared" ca="1" si="26"/>
        <v>0</v>
      </c>
      <c r="F73" s="87">
        <f t="shared" ca="1" si="26"/>
        <v>0</v>
      </c>
      <c r="G73" s="87">
        <f t="shared" ca="1" si="26"/>
        <v>0</v>
      </c>
      <c r="H73" s="87">
        <f t="shared" ca="1" si="26"/>
        <v>0</v>
      </c>
      <c r="I73" s="87">
        <f t="shared" ca="1" si="26"/>
        <v>0</v>
      </c>
      <c r="J73" s="87">
        <f t="shared" ca="1" si="26"/>
        <v>0</v>
      </c>
      <c r="K73" s="87">
        <f t="shared" ca="1" si="26"/>
        <v>0</v>
      </c>
      <c r="L73" s="87">
        <f t="shared" ca="1" si="26"/>
        <v>0</v>
      </c>
      <c r="M73" s="87">
        <f ca="1">M47+M22</f>
        <v>0</v>
      </c>
      <c r="N73" s="87">
        <f t="shared" ca="1" si="26"/>
        <v>0</v>
      </c>
      <c r="O73" s="88">
        <f ca="1">SUM(C73:N73)</f>
        <v>0</v>
      </c>
    </row>
    <row r="74" spans="1:17">
      <c r="A74" s="186"/>
      <c r="B74" s="17" t="s">
        <v>21</v>
      </c>
      <c r="C74" s="172">
        <f ca="1">C48+C23</f>
        <v>0</v>
      </c>
      <c r="D74" s="173">
        <f t="shared" ref="D74:L74" ca="1" si="27">D48+D23</f>
        <v>0</v>
      </c>
      <c r="E74" s="173">
        <f t="shared" ca="1" si="27"/>
        <v>244.9</v>
      </c>
      <c r="F74" s="173">
        <f t="shared" ca="1" si="27"/>
        <v>0</v>
      </c>
      <c r="G74" s="173">
        <f t="shared" ca="1" si="27"/>
        <v>0</v>
      </c>
      <c r="H74" s="173">
        <f t="shared" ca="1" si="27"/>
        <v>0</v>
      </c>
      <c r="I74" s="173">
        <f t="shared" ca="1" si="27"/>
        <v>0</v>
      </c>
      <c r="J74" s="173">
        <f t="shared" ca="1" si="27"/>
        <v>0</v>
      </c>
      <c r="K74" s="173">
        <f t="shared" ca="1" si="27"/>
        <v>0</v>
      </c>
      <c r="L74" s="173">
        <f t="shared" ca="1" si="27"/>
        <v>0</v>
      </c>
      <c r="M74" s="173">
        <f ca="1">M48+M23</f>
        <v>0</v>
      </c>
      <c r="N74" s="173">
        <f ca="1">N48+N23</f>
        <v>0</v>
      </c>
      <c r="O74" s="166">
        <f ca="1">O48+O23</f>
        <v>244.9</v>
      </c>
    </row>
    <row r="75" spans="1:17">
      <c r="A75" s="186"/>
      <c r="B75" s="17" t="s">
        <v>1156</v>
      </c>
      <c r="C75" s="172">
        <f t="shared" ref="C75:O75" ca="1" si="28">C49+C24</f>
        <v>0</v>
      </c>
      <c r="D75" s="173">
        <f t="shared" ca="1" si="28"/>
        <v>22000</v>
      </c>
      <c r="E75" s="173">
        <f t="shared" ca="1" si="28"/>
        <v>0</v>
      </c>
      <c r="F75" s="173">
        <f t="shared" ca="1" si="28"/>
        <v>0</v>
      </c>
      <c r="G75" s="173">
        <f t="shared" ca="1" si="28"/>
        <v>40000</v>
      </c>
      <c r="H75" s="173">
        <f t="shared" ca="1" si="28"/>
        <v>15000</v>
      </c>
      <c r="I75" s="173">
        <f t="shared" ca="1" si="28"/>
        <v>23000</v>
      </c>
      <c r="J75" s="173">
        <f t="shared" ca="1" si="28"/>
        <v>0</v>
      </c>
      <c r="K75" s="173">
        <f t="shared" ca="1" si="28"/>
        <v>0</v>
      </c>
      <c r="L75" s="173">
        <f t="shared" ca="1" si="28"/>
        <v>0</v>
      </c>
      <c r="M75" s="173">
        <f t="shared" ca="1" si="28"/>
        <v>0</v>
      </c>
      <c r="N75" s="173">
        <f t="shared" ca="1" si="28"/>
        <v>0</v>
      </c>
      <c r="O75" s="166">
        <f t="shared" ca="1" si="28"/>
        <v>100000</v>
      </c>
    </row>
    <row r="76" spans="1:17">
      <c r="A76" s="186"/>
      <c r="B76" s="17" t="s">
        <v>611</v>
      </c>
      <c r="C76" s="172">
        <f t="shared" ref="C76:O76" ca="1" si="29">C50+C25</f>
        <v>0</v>
      </c>
      <c r="D76" s="173">
        <f t="shared" ca="1" si="29"/>
        <v>0</v>
      </c>
      <c r="E76" s="173">
        <f t="shared" ca="1" si="29"/>
        <v>0</v>
      </c>
      <c r="F76" s="173">
        <f t="shared" ca="1" si="29"/>
        <v>0</v>
      </c>
      <c r="G76" s="173">
        <f t="shared" ca="1" si="29"/>
        <v>0</v>
      </c>
      <c r="H76" s="173">
        <f t="shared" ca="1" si="29"/>
        <v>0</v>
      </c>
      <c r="I76" s="173">
        <f t="shared" ca="1" si="29"/>
        <v>0</v>
      </c>
      <c r="J76" s="173">
        <f t="shared" ca="1" si="29"/>
        <v>0</v>
      </c>
      <c r="K76" s="173">
        <f t="shared" ca="1" si="29"/>
        <v>0</v>
      </c>
      <c r="L76" s="173">
        <f t="shared" ca="1" si="29"/>
        <v>0</v>
      </c>
      <c r="M76" s="173">
        <f t="shared" ca="1" si="29"/>
        <v>0</v>
      </c>
      <c r="N76" s="173">
        <f t="shared" ca="1" si="29"/>
        <v>0</v>
      </c>
      <c r="O76" s="166">
        <f t="shared" ca="1" si="29"/>
        <v>0</v>
      </c>
    </row>
    <row r="77" spans="1:17" ht="15.75" thickBot="1">
      <c r="A77" s="186"/>
      <c r="B77" s="17" t="s">
        <v>612</v>
      </c>
      <c r="C77" s="172">
        <f ca="1">C51+C25</f>
        <v>0</v>
      </c>
      <c r="D77" s="173">
        <f t="shared" ref="D77:O77" ca="1" si="30">D51+D25</f>
        <v>0</v>
      </c>
      <c r="E77" s="173">
        <f t="shared" ca="1" si="30"/>
        <v>0</v>
      </c>
      <c r="F77" s="173">
        <f t="shared" ca="1" si="30"/>
        <v>0</v>
      </c>
      <c r="G77" s="173">
        <f t="shared" ca="1" si="30"/>
        <v>0</v>
      </c>
      <c r="H77" s="173">
        <f t="shared" ca="1" si="30"/>
        <v>5000</v>
      </c>
      <c r="I77" s="173">
        <f t="shared" ca="1" si="30"/>
        <v>0</v>
      </c>
      <c r="J77" s="173">
        <f t="shared" ca="1" si="30"/>
        <v>0</v>
      </c>
      <c r="K77" s="173">
        <f t="shared" ca="1" si="30"/>
        <v>0</v>
      </c>
      <c r="L77" s="173">
        <f t="shared" ca="1" si="30"/>
        <v>0</v>
      </c>
      <c r="M77" s="173">
        <f t="shared" ca="1" si="30"/>
        <v>0</v>
      </c>
      <c r="N77" s="173">
        <f t="shared" ca="1" si="30"/>
        <v>0</v>
      </c>
      <c r="O77" s="166">
        <f t="shared" ca="1" si="30"/>
        <v>5000</v>
      </c>
    </row>
    <row r="78" spans="1:17" ht="15.75" thickBot="1">
      <c r="A78" s="187"/>
      <c r="B78" s="14" t="s">
        <v>59</v>
      </c>
      <c r="C78" s="167">
        <f t="shared" ref="C78:N78" ca="1" si="31">SUM(C53:C77)</f>
        <v>25054.09</v>
      </c>
      <c r="D78" s="168">
        <f t="shared" ca="1" si="31"/>
        <v>56581.24</v>
      </c>
      <c r="E78" s="168">
        <f t="shared" ca="1" si="31"/>
        <v>26671.54</v>
      </c>
      <c r="F78" s="168">
        <f ca="1">SUM(F53:F77)</f>
        <v>17018.54</v>
      </c>
      <c r="G78" s="168">
        <f t="shared" ca="1" si="31"/>
        <v>61784.350000000006</v>
      </c>
      <c r="H78" s="168">
        <f t="shared" ca="1" si="31"/>
        <v>58698.499999999993</v>
      </c>
      <c r="I78" s="168">
        <f t="shared" ca="1" si="31"/>
        <v>42550.64</v>
      </c>
      <c r="J78" s="168">
        <f t="shared" ca="1" si="31"/>
        <v>4743.5200000000004</v>
      </c>
      <c r="K78" s="168">
        <f t="shared" ca="1" si="31"/>
        <v>4700</v>
      </c>
      <c r="L78" s="168">
        <f t="shared" ca="1" si="31"/>
        <v>3798.7599999999998</v>
      </c>
      <c r="M78" s="168">
        <f t="shared" ca="1" si="31"/>
        <v>4700</v>
      </c>
      <c r="N78" s="168">
        <f t="shared" ca="1" si="31"/>
        <v>3812.73</v>
      </c>
      <c r="O78" s="169">
        <f ca="1">SUM(C78:N78)</f>
        <v>310113.91000000003</v>
      </c>
    </row>
    <row r="79" spans="1:17">
      <c r="A79" s="185" t="s">
        <v>61</v>
      </c>
      <c r="B79" s="18" t="s">
        <v>23</v>
      </c>
      <c r="C79" s="21">
        <f t="shared" ref="C79:O79" ca="1" si="32">IF(C53*C$78=0,0,C53/C$78)</f>
        <v>0</v>
      </c>
      <c r="D79" s="22">
        <f t="shared" ca="1" si="32"/>
        <v>3.500100033155866E-2</v>
      </c>
      <c r="E79" s="22">
        <f t="shared" ca="1" si="32"/>
        <v>4.3117120346256718E-3</v>
      </c>
      <c r="F79" s="22">
        <f t="shared" ca="1" si="32"/>
        <v>0</v>
      </c>
      <c r="G79" s="22">
        <f t="shared" ca="1" si="32"/>
        <v>3.4377637702751583E-3</v>
      </c>
      <c r="H79" s="22">
        <f t="shared" ca="1" si="32"/>
        <v>0</v>
      </c>
      <c r="I79" s="22">
        <f t="shared" ca="1" si="32"/>
        <v>1.1750704572246152E-3</v>
      </c>
      <c r="J79" s="22">
        <f t="shared" ca="1" si="32"/>
        <v>0</v>
      </c>
      <c r="K79" s="22">
        <f t="shared" ca="1" si="32"/>
        <v>0</v>
      </c>
      <c r="L79" s="22">
        <f t="shared" ca="1" si="32"/>
        <v>0</v>
      </c>
      <c r="M79" s="22">
        <f t="shared" ca="1" si="32"/>
        <v>0</v>
      </c>
      <c r="N79" s="22">
        <f t="shared" ca="1" si="32"/>
        <v>0</v>
      </c>
      <c r="O79" s="23">
        <f t="shared" ca="1" si="32"/>
        <v>7.6030127123288323E-3</v>
      </c>
    </row>
    <row r="80" spans="1:17">
      <c r="A80" s="186"/>
      <c r="B80" s="16" t="s">
        <v>27</v>
      </c>
      <c r="C80" s="24">
        <f t="shared" ref="C80:O80" ca="1" si="33">IF(C54*C$78=0,0,C54/C$78)</f>
        <v>2.2102179723949265E-2</v>
      </c>
      <c r="D80" s="20">
        <f t="shared" ca="1" si="33"/>
        <v>1.2573071922778645E-2</v>
      </c>
      <c r="E80" s="20">
        <f t="shared" ca="1" si="33"/>
        <v>3.7426785254994648E-2</v>
      </c>
      <c r="F80" s="20">
        <f t="shared" ca="1" si="33"/>
        <v>7.1471465824918007E-2</v>
      </c>
      <c r="G80" s="20">
        <f t="shared" ca="1" si="33"/>
        <v>1.974739557833011E-2</v>
      </c>
      <c r="H80" s="20">
        <f t="shared" ca="1" si="33"/>
        <v>1.1874749780658793E-2</v>
      </c>
      <c r="I80" s="20">
        <f t="shared" ca="1" si="33"/>
        <v>1.7213842141974835E-2</v>
      </c>
      <c r="J80" s="20">
        <f t="shared" ca="1" si="33"/>
        <v>0</v>
      </c>
      <c r="K80" s="20">
        <f t="shared" ca="1" si="33"/>
        <v>0</v>
      </c>
      <c r="L80" s="20">
        <f t="shared" ca="1" si="33"/>
        <v>0</v>
      </c>
      <c r="M80" s="20">
        <f t="shared" ca="1" si="33"/>
        <v>0</v>
      </c>
      <c r="N80" s="20">
        <f t="shared" ca="1" si="33"/>
        <v>0</v>
      </c>
      <c r="O80" s="25">
        <f t="shared" ca="1" si="33"/>
        <v>1.976464067671134E-2</v>
      </c>
    </row>
    <row r="81" spans="1:15">
      <c r="A81" s="186"/>
      <c r="B81" s="16" t="s">
        <v>19</v>
      </c>
      <c r="C81" s="24">
        <f t="shared" ref="C81:O81" ca="1" si="34">IF(C55*C$78=0,0,C55/C$78)</f>
        <v>2.7939549989642412E-3</v>
      </c>
      <c r="D81" s="20">
        <f t="shared" ca="1" si="34"/>
        <v>1.5217057809266818E-2</v>
      </c>
      <c r="E81" s="20">
        <f t="shared" ca="1" si="34"/>
        <v>1.0198136290592894E-2</v>
      </c>
      <c r="F81" s="20">
        <f t="shared" ca="1" si="34"/>
        <v>2.8792129054548742E-3</v>
      </c>
      <c r="G81" s="20">
        <f t="shared" ca="1" si="34"/>
        <v>0</v>
      </c>
      <c r="H81" s="20">
        <f t="shared" ca="1" si="34"/>
        <v>1.9336098878165543E-2</v>
      </c>
      <c r="I81" s="20">
        <f t="shared" ca="1" si="34"/>
        <v>3.3230992530312118E-3</v>
      </c>
      <c r="J81" s="20">
        <f t="shared" ca="1" si="34"/>
        <v>0</v>
      </c>
      <c r="K81" s="20">
        <f t="shared" ca="1" si="34"/>
        <v>0</v>
      </c>
      <c r="L81" s="20">
        <f t="shared" ca="1" si="34"/>
        <v>0</v>
      </c>
      <c r="M81" s="20">
        <f t="shared" ca="1" si="34"/>
        <v>0</v>
      </c>
      <c r="N81" s="20">
        <f t="shared" ca="1" si="34"/>
        <v>0</v>
      </c>
      <c r="O81" s="25">
        <f t="shared" ca="1" si="34"/>
        <v>8.1531331503317591E-3</v>
      </c>
    </row>
    <row r="82" spans="1:15">
      <c r="A82" s="186"/>
      <c r="B82" s="16" t="s">
        <v>26</v>
      </c>
      <c r="C82" s="24">
        <f t="shared" ref="C82:O82" ca="1" si="35">IF(C56*C$78=0,0,C56/C$78)</f>
        <v>3.7777863813852348E-2</v>
      </c>
      <c r="D82" s="20">
        <f t="shared" ca="1" si="35"/>
        <v>4.471782520142719E-2</v>
      </c>
      <c r="E82" s="20">
        <f t="shared" ca="1" si="35"/>
        <v>3.950353072975913E-2</v>
      </c>
      <c r="F82" s="20">
        <f t="shared" ca="1" si="35"/>
        <v>0.14053026875395891</v>
      </c>
      <c r="G82" s="20">
        <f t="shared" ca="1" si="35"/>
        <v>7.8741623080925832E-3</v>
      </c>
      <c r="H82" s="20">
        <f t="shared" ca="1" si="35"/>
        <v>4.0321132567271739E-2</v>
      </c>
      <c r="I82" s="20">
        <f t="shared" ca="1" si="35"/>
        <v>2.3438660382076509E-2</v>
      </c>
      <c r="J82" s="20">
        <f t="shared" ca="1" si="35"/>
        <v>0.40954185921003811</v>
      </c>
      <c r="K82" s="20">
        <f t="shared" ca="1" si="35"/>
        <v>0</v>
      </c>
      <c r="L82" s="20">
        <f t="shared" ca="1" si="35"/>
        <v>0.51277522138803189</v>
      </c>
      <c r="M82" s="20">
        <f t="shared" ca="1" si="35"/>
        <v>0</v>
      </c>
      <c r="N82" s="20">
        <f t="shared" ca="1" si="35"/>
        <v>0.51478337044584854</v>
      </c>
      <c r="O82" s="25">
        <f t="shared" ca="1" si="35"/>
        <v>5.3612074350357253E-2</v>
      </c>
    </row>
    <row r="83" spans="1:15">
      <c r="A83" s="186"/>
      <c r="B83" s="16" t="s">
        <v>34</v>
      </c>
      <c r="C83" s="24">
        <f t="shared" ref="C83:O83" ca="1" si="36">IF(C57*C$78=0,0,C57/C$78)</f>
        <v>2.9935232131759724E-2</v>
      </c>
      <c r="D83" s="20">
        <f t="shared" ca="1" si="36"/>
        <v>1.3184582027541284E-2</v>
      </c>
      <c r="E83" s="20">
        <f t="shared" ca="1" si="36"/>
        <v>2.79698885028761E-2</v>
      </c>
      <c r="F83" s="20">
        <f t="shared" ca="1" si="36"/>
        <v>4.383454749937421E-2</v>
      </c>
      <c r="G83" s="20">
        <f t="shared" ca="1" si="36"/>
        <v>0</v>
      </c>
      <c r="H83" s="20">
        <f t="shared" ca="1" si="36"/>
        <v>0</v>
      </c>
      <c r="I83" s="20">
        <f t="shared" ca="1" si="36"/>
        <v>0</v>
      </c>
      <c r="J83" s="20">
        <f t="shared" ca="1" si="36"/>
        <v>0</v>
      </c>
      <c r="K83" s="20">
        <f t="shared" ca="1" si="36"/>
        <v>0</v>
      </c>
      <c r="L83" s="20">
        <f t="shared" ca="1" si="36"/>
        <v>0</v>
      </c>
      <c r="M83" s="20">
        <f t="shared" ca="1" si="36"/>
        <v>0</v>
      </c>
      <c r="N83" s="20">
        <f t="shared" ca="1" si="36"/>
        <v>0</v>
      </c>
      <c r="O83" s="25">
        <f t="shared" ca="1" si="36"/>
        <v>9.6351692189492553E-3</v>
      </c>
    </row>
    <row r="84" spans="1:15">
      <c r="A84" s="186"/>
      <c r="B84" s="16" t="s">
        <v>24</v>
      </c>
      <c r="C84" s="24">
        <f t="shared" ref="C84:O84" ca="1" si="37">IF(C58*C$78=0,0,C58/C$78)</f>
        <v>1.6500699087454385E-2</v>
      </c>
      <c r="D84" s="20">
        <f t="shared" ca="1" si="37"/>
        <v>1.5242331203770013E-2</v>
      </c>
      <c r="E84" s="20">
        <f t="shared" ca="1" si="37"/>
        <v>2.5289503343264016E-2</v>
      </c>
      <c r="F84" s="20">
        <f t="shared" ca="1" si="37"/>
        <v>3.2297130071087178E-2</v>
      </c>
      <c r="G84" s="20">
        <f t="shared" ca="1" si="37"/>
        <v>4.2959098865651248E-3</v>
      </c>
      <c r="H84" s="20">
        <f t="shared" ca="1" si="37"/>
        <v>2.7971072514629849E-2</v>
      </c>
      <c r="I84" s="20">
        <f t="shared" ca="1" si="37"/>
        <v>1.160123561008718E-2</v>
      </c>
      <c r="J84" s="20">
        <f t="shared" ca="1" si="37"/>
        <v>0</v>
      </c>
      <c r="K84" s="20">
        <f t="shared" ca="1" si="37"/>
        <v>0</v>
      </c>
      <c r="L84" s="20">
        <f t="shared" ca="1" si="37"/>
        <v>0</v>
      </c>
      <c r="M84" s="20">
        <f t="shared" ca="1" si="37"/>
        <v>0</v>
      </c>
      <c r="N84" s="20">
        <f t="shared" ca="1" si="37"/>
        <v>0</v>
      </c>
      <c r="O84" s="25">
        <f t="shared" ca="1" si="37"/>
        <v>1.5803612292012312E-2</v>
      </c>
    </row>
    <row r="85" spans="1:15">
      <c r="A85" s="186"/>
      <c r="B85" s="16" t="s">
        <v>29</v>
      </c>
      <c r="C85" s="24">
        <f t="shared" ref="C85:O85" ca="1" si="38">IF(C59*C$78=0,0,C59/C$78)</f>
        <v>0</v>
      </c>
      <c r="D85" s="20">
        <f t="shared" ca="1" si="38"/>
        <v>0</v>
      </c>
      <c r="E85" s="20">
        <f t="shared" ca="1" si="38"/>
        <v>2.1183628691856561E-2</v>
      </c>
      <c r="F85" s="20">
        <f t="shared" ca="1" si="38"/>
        <v>0</v>
      </c>
      <c r="G85" s="20">
        <f t="shared" ca="1" si="38"/>
        <v>0</v>
      </c>
      <c r="H85" s="20">
        <f t="shared" ca="1" si="38"/>
        <v>0</v>
      </c>
      <c r="I85" s="20">
        <f t="shared" ca="1" si="38"/>
        <v>0</v>
      </c>
      <c r="J85" s="20">
        <f t="shared" ca="1" si="38"/>
        <v>0</v>
      </c>
      <c r="K85" s="20">
        <f t="shared" ca="1" si="38"/>
        <v>0</v>
      </c>
      <c r="L85" s="20">
        <f t="shared" ca="1" si="38"/>
        <v>0</v>
      </c>
      <c r="M85" s="20">
        <f t="shared" ca="1" si="38"/>
        <v>0</v>
      </c>
      <c r="N85" s="20">
        <f t="shared" ca="1" si="38"/>
        <v>0</v>
      </c>
      <c r="O85" s="25">
        <f t="shared" ca="1" si="38"/>
        <v>1.8219111809592802E-3</v>
      </c>
    </row>
    <row r="86" spans="1:15">
      <c r="A86" s="186"/>
      <c r="B86" s="16" t="s">
        <v>35</v>
      </c>
      <c r="C86" s="24">
        <f t="shared" ref="C86:O86" ca="1" si="39">IF(C60*C$78=0,0,C60/C$78)</f>
        <v>7.4039807472552385E-2</v>
      </c>
      <c r="D86" s="20">
        <f t="shared" ca="1" si="39"/>
        <v>3.8440302828287254E-2</v>
      </c>
      <c r="E86" s="20">
        <f t="shared" ca="1" si="39"/>
        <v>0.10741786938437001</v>
      </c>
      <c r="F86" s="20">
        <f t="shared" ca="1" si="39"/>
        <v>6.3460202814107441E-2</v>
      </c>
      <c r="G86" s="20">
        <f t="shared" ca="1" si="39"/>
        <v>0.14714082125975267</v>
      </c>
      <c r="H86" s="20">
        <f t="shared" ca="1" si="39"/>
        <v>2.5724677802669578E-2</v>
      </c>
      <c r="I86" s="20">
        <f t="shared" ca="1" si="39"/>
        <v>2.5146507784606767E-2</v>
      </c>
      <c r="J86" s="20">
        <f t="shared" ca="1" si="39"/>
        <v>0</v>
      </c>
      <c r="K86" s="20">
        <f t="shared" ca="1" si="39"/>
        <v>4.2553191489361701E-2</v>
      </c>
      <c r="L86" s="20">
        <f t="shared" ca="1" si="39"/>
        <v>5.2648759068748753E-2</v>
      </c>
      <c r="M86" s="20">
        <f t="shared" ca="1" si="39"/>
        <v>4.2553191489361701E-2</v>
      </c>
      <c r="N86" s="20">
        <f t="shared" ca="1" si="39"/>
        <v>5.2455851843692052E-2</v>
      </c>
      <c r="O86" s="25">
        <f t="shared" ca="1" si="39"/>
        <v>6.5930612399811406E-2</v>
      </c>
    </row>
    <row r="87" spans="1:15">
      <c r="A87" s="186"/>
      <c r="B87" s="16" t="s">
        <v>20</v>
      </c>
      <c r="C87" s="24">
        <f t="shared" ref="C87:O87" ca="1" si="40">IF(C61*C$78=0,0,C61/C$78)</f>
        <v>0</v>
      </c>
      <c r="D87" s="20">
        <f t="shared" ca="1" si="40"/>
        <v>9.2786937861383034E-2</v>
      </c>
      <c r="E87" s="20">
        <f t="shared" ca="1" si="40"/>
        <v>0.19683902766769373</v>
      </c>
      <c r="F87" s="20">
        <f t="shared" ca="1" si="40"/>
        <v>0</v>
      </c>
      <c r="G87" s="20">
        <f t="shared" ca="1" si="40"/>
        <v>0</v>
      </c>
      <c r="H87" s="20">
        <f t="shared" ca="1" si="40"/>
        <v>0</v>
      </c>
      <c r="I87" s="20">
        <f t="shared" ca="1" si="40"/>
        <v>0</v>
      </c>
      <c r="J87" s="20">
        <f t="shared" ca="1" si="40"/>
        <v>0</v>
      </c>
      <c r="K87" s="20">
        <f t="shared" ca="1" si="40"/>
        <v>0</v>
      </c>
      <c r="L87" s="20">
        <f t="shared" ca="1" si="40"/>
        <v>0</v>
      </c>
      <c r="M87" s="20">
        <f t="shared" ca="1" si="40"/>
        <v>0</v>
      </c>
      <c r="N87" s="20">
        <f t="shared" ca="1" si="40"/>
        <v>0</v>
      </c>
      <c r="O87" s="25">
        <f t="shared" ca="1" si="40"/>
        <v>3.3858526371809632E-2</v>
      </c>
    </row>
    <row r="88" spans="1:15">
      <c r="A88" s="186"/>
      <c r="B88" s="16" t="s">
        <v>75</v>
      </c>
      <c r="C88" s="24">
        <f t="shared" ref="C88:O88" ca="1" si="41">IF(C62*C$78=0,0,C62/C$78)</f>
        <v>6.589143728628738E-2</v>
      </c>
      <c r="D88" s="20">
        <f t="shared" ca="1" si="41"/>
        <v>2.9538412378378419E-2</v>
      </c>
      <c r="E88" s="20">
        <f t="shared" ca="1" si="41"/>
        <v>6.2805147359320093E-2</v>
      </c>
      <c r="F88" s="20">
        <f t="shared" ca="1" si="41"/>
        <v>9.7114088517581409E-2</v>
      </c>
      <c r="G88" s="20">
        <f t="shared" ca="1" si="41"/>
        <v>2.68098636628855E-2</v>
      </c>
      <c r="H88" s="20">
        <f t="shared" ca="1" si="41"/>
        <v>2.8109747267817752E-2</v>
      </c>
      <c r="I88" s="20">
        <f t="shared" ca="1" si="41"/>
        <v>3.9929834192858206E-2</v>
      </c>
      <c r="J88" s="20">
        <f t="shared" ca="1" si="41"/>
        <v>0.34802214389314262</v>
      </c>
      <c r="K88" s="20">
        <f t="shared" ca="1" si="41"/>
        <v>0.35106382978723405</v>
      </c>
      <c r="L88" s="20">
        <f t="shared" ca="1" si="41"/>
        <v>0.43457601954321939</v>
      </c>
      <c r="M88" s="20">
        <f t="shared" ca="1" si="41"/>
        <v>0.35106382978723405</v>
      </c>
      <c r="N88" s="20">
        <f t="shared" ca="1" si="41"/>
        <v>0.43276077771045945</v>
      </c>
      <c r="O88" s="25">
        <f t="shared" ca="1" si="41"/>
        <v>6.41931540574881E-2</v>
      </c>
    </row>
    <row r="89" spans="1:15">
      <c r="A89" s="186"/>
      <c r="B89" s="16" t="s">
        <v>39</v>
      </c>
      <c r="C89" s="24">
        <f t="shared" ref="C89:O89" ca="1" si="42">IF(C63*C$78=0,0,C63/C$78)</f>
        <v>0</v>
      </c>
      <c r="D89" s="20">
        <f t="shared" ca="1" si="42"/>
        <v>0</v>
      </c>
      <c r="E89" s="20">
        <f t="shared" ca="1" si="42"/>
        <v>2.4699361191742208E-2</v>
      </c>
      <c r="F89" s="20">
        <f t="shared" ca="1" si="42"/>
        <v>3.8193640582564661E-3</v>
      </c>
      <c r="G89" s="20">
        <f t="shared" ca="1" si="42"/>
        <v>1.8935215794938363E-2</v>
      </c>
      <c r="H89" s="20">
        <f t="shared" ca="1" si="42"/>
        <v>1.3627264751228737E-2</v>
      </c>
      <c r="I89" s="20">
        <f t="shared" ca="1" si="42"/>
        <v>4.9352959203433841E-3</v>
      </c>
      <c r="J89" s="20">
        <f t="shared" ca="1" si="42"/>
        <v>0</v>
      </c>
      <c r="K89" s="20">
        <f t="shared" ca="1" si="42"/>
        <v>0</v>
      </c>
      <c r="L89" s="20">
        <f t="shared" ca="1" si="42"/>
        <v>0</v>
      </c>
      <c r="M89" s="20">
        <f t="shared" ca="1" si="42"/>
        <v>0</v>
      </c>
      <c r="N89" s="20">
        <f t="shared" ca="1" si="42"/>
        <v>0</v>
      </c>
      <c r="O89" s="25">
        <f t="shared" ca="1" si="42"/>
        <v>9.3629144207043151E-3</v>
      </c>
    </row>
    <row r="90" spans="1:15">
      <c r="A90" s="186"/>
      <c r="B90" s="16" t="s">
        <v>25</v>
      </c>
      <c r="C90" s="24">
        <f t="shared" ref="C90:O90" ca="1" si="43">IF(C64*C$78=0,0,C64/C$78)</f>
        <v>6.6287380623283459E-2</v>
      </c>
      <c r="D90" s="20">
        <f t="shared" ca="1" si="43"/>
        <v>6.9298587305615788E-3</v>
      </c>
      <c r="E90" s="20">
        <f t="shared" ca="1" si="43"/>
        <v>5.7269284038341986E-2</v>
      </c>
      <c r="F90" s="20">
        <f t="shared" ca="1" si="43"/>
        <v>3.3283701187058347E-2</v>
      </c>
      <c r="G90" s="20">
        <f t="shared" ca="1" si="43"/>
        <v>6.5408149474745622E-3</v>
      </c>
      <c r="H90" s="20">
        <f t="shared" ca="1" si="43"/>
        <v>2.8472618550729578E-2</v>
      </c>
      <c r="I90" s="20">
        <f t="shared" ca="1" si="43"/>
        <v>2.3593769682430162E-2</v>
      </c>
      <c r="J90" s="20">
        <f t="shared" ca="1" si="43"/>
        <v>0</v>
      </c>
      <c r="K90" s="20">
        <f t="shared" ca="1" si="43"/>
        <v>0</v>
      </c>
      <c r="L90" s="20">
        <f t="shared" ca="1" si="43"/>
        <v>0</v>
      </c>
      <c r="M90" s="20">
        <f t="shared" ca="1" si="43"/>
        <v>0</v>
      </c>
      <c r="N90" s="20">
        <f t="shared" ca="1" si="43"/>
        <v>0</v>
      </c>
      <c r="O90" s="25">
        <f t="shared" ca="1" si="43"/>
        <v>2.3301502341510572E-2</v>
      </c>
    </row>
    <row r="91" spans="1:15">
      <c r="A91" s="186"/>
      <c r="B91" s="16" t="s">
        <v>31</v>
      </c>
      <c r="C91" s="24">
        <f t="shared" ref="C91:O91" ca="1" si="44">IF(C65*C$78=0,0,C65/C$78)</f>
        <v>0</v>
      </c>
      <c r="D91" s="20">
        <f t="shared" ca="1" si="44"/>
        <v>0</v>
      </c>
      <c r="E91" s="20">
        <f t="shared" ca="1" si="44"/>
        <v>0</v>
      </c>
      <c r="F91" s="20">
        <f t="shared" ca="1" si="44"/>
        <v>0</v>
      </c>
      <c r="G91" s="20">
        <f t="shared" ca="1" si="44"/>
        <v>0</v>
      </c>
      <c r="H91" s="20">
        <f t="shared" ca="1" si="44"/>
        <v>0</v>
      </c>
      <c r="I91" s="20">
        <f t="shared" ca="1" si="44"/>
        <v>0</v>
      </c>
      <c r="J91" s="20">
        <f t="shared" ca="1" si="44"/>
        <v>0</v>
      </c>
      <c r="K91" s="20">
        <f t="shared" ca="1" si="44"/>
        <v>0</v>
      </c>
      <c r="L91" s="20">
        <f t="shared" ca="1" si="44"/>
        <v>0</v>
      </c>
      <c r="M91" s="20">
        <f t="shared" ca="1" si="44"/>
        <v>0</v>
      </c>
      <c r="N91" s="20">
        <f t="shared" ca="1" si="44"/>
        <v>0</v>
      </c>
      <c r="O91" s="25">
        <f t="shared" ca="1" si="44"/>
        <v>0</v>
      </c>
    </row>
    <row r="92" spans="1:15">
      <c r="A92" s="186"/>
      <c r="B92" s="16" t="s">
        <v>22</v>
      </c>
      <c r="C92" s="24">
        <f t="shared" ref="C92:O92" ca="1" si="45">IF(C66*C$78=0,0,C66/C$78)</f>
        <v>0.21745311843295845</v>
      </c>
      <c r="D92" s="20">
        <f t="shared" ca="1" si="45"/>
        <v>9.5112797103775057E-2</v>
      </c>
      <c r="E92" s="20">
        <f t="shared" ca="1" si="45"/>
        <v>0.20305576655866145</v>
      </c>
      <c r="F92" s="20">
        <f t="shared" ca="1" si="45"/>
        <v>0.34639751706080552</v>
      </c>
      <c r="G92" s="20">
        <f t="shared" ca="1" si="45"/>
        <v>5.4674039623302667E-2</v>
      </c>
      <c r="H92" s="20">
        <f t="shared" ca="1" si="45"/>
        <v>8.0360997299760636E-2</v>
      </c>
      <c r="I92" s="20">
        <f t="shared" ca="1" si="45"/>
        <v>0.12239980409225339</v>
      </c>
      <c r="J92" s="20">
        <f t="shared" ca="1" si="45"/>
        <v>0</v>
      </c>
      <c r="K92" s="20">
        <f t="shared" ca="1" si="45"/>
        <v>0</v>
      </c>
      <c r="L92" s="20">
        <f t="shared" ca="1" si="45"/>
        <v>0</v>
      </c>
      <c r="M92" s="20">
        <f t="shared" ca="1" si="45"/>
        <v>0</v>
      </c>
      <c r="N92" s="20">
        <f t="shared" ca="1" si="45"/>
        <v>0</v>
      </c>
      <c r="O92" s="25">
        <f t="shared" ca="1" si="45"/>
        <v>0.11429329306769889</v>
      </c>
    </row>
    <row r="93" spans="1:15">
      <c r="A93" s="186"/>
      <c r="B93" s="16" t="s">
        <v>33</v>
      </c>
      <c r="C93" s="24">
        <f t="shared" ref="C93:O93" ca="1" si="46">IF(C67*C$78=0,0,C67/C$78)</f>
        <v>4.5900689268698246E-2</v>
      </c>
      <c r="D93" s="20">
        <f t="shared" ca="1" si="46"/>
        <v>2.0324757817255332E-2</v>
      </c>
      <c r="E93" s="20">
        <f t="shared" ca="1" si="46"/>
        <v>4.311712034625672E-2</v>
      </c>
      <c r="F93" s="20">
        <f t="shared" ca="1" si="46"/>
        <v>6.75733641076144E-2</v>
      </c>
      <c r="G93" s="20">
        <f t="shared" ca="1" si="46"/>
        <v>1.8613127758081129E-2</v>
      </c>
      <c r="H93" s="20">
        <f t="shared" ca="1" si="46"/>
        <v>1.9591642035145705E-2</v>
      </c>
      <c r="I93" s="20">
        <f t="shared" ca="1" si="46"/>
        <v>2.7026620516166149E-2</v>
      </c>
      <c r="J93" s="20">
        <f t="shared" ca="1" si="46"/>
        <v>0.24243599689681922</v>
      </c>
      <c r="K93" s="20">
        <f t="shared" ca="1" si="46"/>
        <v>0.6063829787234043</v>
      </c>
      <c r="L93" s="20">
        <f t="shared" ca="1" si="46"/>
        <v>0</v>
      </c>
      <c r="M93" s="20">
        <f t="shared" ca="1" si="46"/>
        <v>0.6063829787234043</v>
      </c>
      <c r="N93" s="20">
        <f t="shared" ca="1" si="46"/>
        <v>0</v>
      </c>
      <c r="O93" s="25">
        <f t="shared" ca="1" si="46"/>
        <v>4.8046861232377482E-2</v>
      </c>
    </row>
    <row r="94" spans="1:15">
      <c r="A94" s="186"/>
      <c r="B94" s="16" t="s">
        <v>32</v>
      </c>
      <c r="C94" s="53">
        <f t="shared" ref="C94:O94" ca="1" si="47">IF(C68*C$78=0,0,C68/C$78)</f>
        <v>1.0776683567433502E-2</v>
      </c>
      <c r="D94" s="53">
        <f t="shared" ca="1" si="47"/>
        <v>1.3103282996272263E-2</v>
      </c>
      <c r="E94" s="53">
        <f t="shared" ca="1" si="47"/>
        <v>5.9122945281749772E-2</v>
      </c>
      <c r="F94" s="53">
        <f t="shared" ca="1" si="47"/>
        <v>3.5377300285453391E-2</v>
      </c>
      <c r="G94" s="53">
        <f t="shared" ca="1" si="47"/>
        <v>3.7017464778702049E-3</v>
      </c>
      <c r="H94" s="53">
        <f t="shared" ca="1" si="47"/>
        <v>3.3590636898728252E-2</v>
      </c>
      <c r="I94" s="53">
        <f t="shared" ca="1" si="47"/>
        <v>1.2668904627521467E-2</v>
      </c>
      <c r="J94" s="53">
        <f t="shared" ca="1" si="47"/>
        <v>0</v>
      </c>
      <c r="K94" s="53">
        <f t="shared" ca="1" si="47"/>
        <v>0</v>
      </c>
      <c r="L94" s="53">
        <f t="shared" ca="1" si="47"/>
        <v>0</v>
      </c>
      <c r="M94" s="53">
        <f t="shared" ca="1" si="47"/>
        <v>0</v>
      </c>
      <c r="N94" s="53">
        <f t="shared" ca="1" si="47"/>
        <v>0</v>
      </c>
      <c r="O94" s="54">
        <f t="shared" ca="1" si="47"/>
        <v>1.9121586645371693E-2</v>
      </c>
    </row>
    <row r="95" spans="1:15" ht="14.25" hidden="1" customHeight="1">
      <c r="A95" s="186"/>
      <c r="B95" s="16" t="s">
        <v>36</v>
      </c>
      <c r="C95" s="53">
        <f t="shared" ref="C95:O95" ca="1" si="48">IF(C69*C$78=0,0,C69/C$78)</f>
        <v>0</v>
      </c>
      <c r="D95" s="53">
        <f t="shared" ca="1" si="48"/>
        <v>0</v>
      </c>
      <c r="E95" s="53">
        <f t="shared" ca="1" si="48"/>
        <v>0</v>
      </c>
      <c r="F95" s="53">
        <f t="shared" ca="1" si="48"/>
        <v>0</v>
      </c>
      <c r="G95" s="53">
        <f t="shared" ca="1" si="48"/>
        <v>0</v>
      </c>
      <c r="H95" s="53">
        <f t="shared" ca="1" si="48"/>
        <v>0</v>
      </c>
      <c r="I95" s="53">
        <f t="shared" ca="1" si="48"/>
        <v>0</v>
      </c>
      <c r="J95" s="53">
        <f t="shared" ca="1" si="48"/>
        <v>0</v>
      </c>
      <c r="K95" s="53">
        <f t="shared" ca="1" si="48"/>
        <v>0</v>
      </c>
      <c r="L95" s="53">
        <f t="shared" ca="1" si="48"/>
        <v>0</v>
      </c>
      <c r="M95" s="53">
        <f t="shared" ca="1" si="48"/>
        <v>0</v>
      </c>
      <c r="N95" s="53">
        <f t="shared" ca="1" si="48"/>
        <v>0</v>
      </c>
      <c r="O95" s="54">
        <f t="shared" ca="1" si="48"/>
        <v>0</v>
      </c>
    </row>
    <row r="96" spans="1:15" ht="14.25" customHeight="1">
      <c r="A96" s="186"/>
      <c r="B96" s="16" t="s">
        <v>18</v>
      </c>
      <c r="C96" s="53">
        <f t="shared" ref="C96:O96" ca="1" si="49">IF(C70*C$78=0,0,C70/C$78)</f>
        <v>0.3747611667396421</v>
      </c>
      <c r="D96" s="53">
        <f t="shared" ca="1" si="49"/>
        <v>0.16664887513953386</v>
      </c>
      <c r="E96" s="53">
        <f t="shared" ca="1" si="49"/>
        <v>3.3216679651793639E-2</v>
      </c>
      <c r="F96" s="53">
        <f t="shared" ca="1" si="49"/>
        <v>5.6691114513935971E-2</v>
      </c>
      <c r="G96" s="53">
        <f t="shared" ca="1" si="49"/>
        <v>7.9308109577910899E-4</v>
      </c>
      <c r="H96" s="53">
        <f t="shared" ca="1" si="49"/>
        <v>0.27476392071347649</v>
      </c>
      <c r="I96" s="53">
        <f t="shared" ca="1" si="49"/>
        <v>6.4699614388878765E-2</v>
      </c>
      <c r="J96" s="53">
        <f t="shared" ca="1" si="49"/>
        <v>0</v>
      </c>
      <c r="K96" s="53">
        <f t="shared" ca="1" si="49"/>
        <v>0</v>
      </c>
      <c r="L96" s="53">
        <f t="shared" ca="1" si="49"/>
        <v>0</v>
      </c>
      <c r="M96" s="53">
        <f t="shared" ca="1" si="49"/>
        <v>0</v>
      </c>
      <c r="N96" s="53">
        <f t="shared" ca="1" si="49"/>
        <v>0</v>
      </c>
      <c r="O96" s="54">
        <f t="shared" ca="1" si="49"/>
        <v>0.12769333694189983</v>
      </c>
    </row>
    <row r="97" spans="1:15">
      <c r="A97" s="186"/>
      <c r="B97" s="16" t="s">
        <v>28</v>
      </c>
      <c r="C97" s="24">
        <f t="shared" ref="C97:O97" ca="1" si="50">IF(C71*C$78=0,0,C71/C$78)</f>
        <v>3.4582377567894104E-2</v>
      </c>
      <c r="D97" s="20">
        <f t="shared" ca="1" si="50"/>
        <v>1.1827241679397625E-2</v>
      </c>
      <c r="E97" s="20">
        <f t="shared" ca="1" si="50"/>
        <v>3.6259623553795542E-2</v>
      </c>
      <c r="F97" s="20">
        <f t="shared" ca="1" si="50"/>
        <v>3.5079389888909391E-3</v>
      </c>
      <c r="G97" s="20">
        <f t="shared" ca="1" si="50"/>
        <v>3.9537358570576525E-2</v>
      </c>
      <c r="H97" s="20">
        <f t="shared" ca="1" si="50"/>
        <v>5.5020145318875266E-2</v>
      </c>
      <c r="I97" s="20">
        <f t="shared" ca="1" si="50"/>
        <v>8.1610288352889651E-2</v>
      </c>
      <c r="J97" s="20">
        <f t="shared" ca="1" si="50"/>
        <v>0</v>
      </c>
      <c r="K97" s="20">
        <f t="shared" ca="1" si="50"/>
        <v>0</v>
      </c>
      <c r="L97" s="20">
        <f t="shared" ca="1" si="50"/>
        <v>0</v>
      </c>
      <c r="M97" s="20">
        <f t="shared" ca="1" si="50"/>
        <v>0</v>
      </c>
      <c r="N97" s="20">
        <f t="shared" ca="1" si="50"/>
        <v>0</v>
      </c>
      <c r="O97" s="25">
        <f t="shared" ca="1" si="50"/>
        <v>3.7751902196196223E-2</v>
      </c>
    </row>
    <row r="98" spans="1:15">
      <c r="A98" s="186"/>
      <c r="B98" s="16" t="s">
        <v>5</v>
      </c>
      <c r="C98" s="24">
        <f t="shared" ref="C98:O99" ca="1" si="51">IF(C72*C$78=0,0,C72/C$78)</f>
        <v>1.1974092852703889E-3</v>
      </c>
      <c r="D98" s="20">
        <f t="shared" ca="1" si="51"/>
        <v>5.3021107349361738E-4</v>
      </c>
      <c r="E98" s="20">
        <f t="shared" ca="1" si="51"/>
        <v>1.1319181419595569E-3</v>
      </c>
      <c r="F98" s="20">
        <f t="shared" ca="1" si="51"/>
        <v>1.7627834115029842E-3</v>
      </c>
      <c r="G98" s="20">
        <f t="shared" ca="1" si="51"/>
        <v>4.855598545586382E-4</v>
      </c>
      <c r="H98" s="20">
        <f t="shared" ca="1" si="51"/>
        <v>5.110863139603227E-4</v>
      </c>
      <c r="I98" s="20">
        <f t="shared" ca="1" si="51"/>
        <v>7.0504227433476911E-4</v>
      </c>
      <c r="J98" s="20">
        <f t="shared" ca="1" si="51"/>
        <v>0</v>
      </c>
      <c r="K98" s="20">
        <f t="shared" ca="1" si="51"/>
        <v>0</v>
      </c>
      <c r="L98" s="20">
        <f t="shared" ca="1" si="51"/>
        <v>0</v>
      </c>
      <c r="M98" s="20">
        <f t="shared" ca="1" si="51"/>
        <v>0</v>
      </c>
      <c r="N98" s="20">
        <f t="shared" ca="1" si="51"/>
        <v>0</v>
      </c>
      <c r="O98" s="25">
        <f t="shared" ca="1" si="51"/>
        <v>6.7778320553244442E-4</v>
      </c>
    </row>
    <row r="99" spans="1:15">
      <c r="A99" s="186"/>
      <c r="B99" s="17" t="s">
        <v>30</v>
      </c>
      <c r="C99" s="24">
        <f t="shared" ca="1" si="51"/>
        <v>0</v>
      </c>
      <c r="D99" s="20">
        <f t="shared" ca="1" si="51"/>
        <v>0</v>
      </c>
      <c r="E99" s="20">
        <f t="shared" ca="1" si="51"/>
        <v>0</v>
      </c>
      <c r="F99" s="20">
        <f t="shared" ca="1" si="51"/>
        <v>0</v>
      </c>
      <c r="G99" s="20">
        <f t="shared" ca="1" si="51"/>
        <v>0</v>
      </c>
      <c r="H99" s="20">
        <f t="shared" ca="1" si="51"/>
        <v>0</v>
      </c>
      <c r="I99" s="20">
        <f t="shared" ca="1" si="51"/>
        <v>0</v>
      </c>
      <c r="J99" s="20">
        <f t="shared" ca="1" si="51"/>
        <v>0</v>
      </c>
      <c r="K99" s="20">
        <f t="shared" ca="1" si="51"/>
        <v>0</v>
      </c>
      <c r="L99" s="20">
        <f t="shared" ca="1" si="51"/>
        <v>0</v>
      </c>
      <c r="M99" s="20">
        <f t="shared" ca="1" si="51"/>
        <v>0</v>
      </c>
      <c r="N99" s="20">
        <f t="shared" ca="1" si="51"/>
        <v>0</v>
      </c>
      <c r="O99" s="25">
        <f t="shared" ca="1" si="51"/>
        <v>0</v>
      </c>
    </row>
    <row r="100" spans="1:15">
      <c r="A100" s="186"/>
      <c r="B100" s="57" t="s">
        <v>21</v>
      </c>
      <c r="C100" s="58">
        <f t="shared" ref="C100:O101" ca="1" si="52">IF(C74*C$78=0,0,C74/C$78)</f>
        <v>0</v>
      </c>
      <c r="D100" s="59">
        <f t="shared" ca="1" si="52"/>
        <v>0</v>
      </c>
      <c r="E100" s="59">
        <f t="shared" ca="1" si="52"/>
        <v>9.1820719763463232E-3</v>
      </c>
      <c r="F100" s="59">
        <f t="shared" ca="1" si="52"/>
        <v>0</v>
      </c>
      <c r="G100" s="59">
        <f t="shared" ca="1" si="52"/>
        <v>0</v>
      </c>
      <c r="H100" s="59">
        <f t="shared" ca="1" si="52"/>
        <v>0</v>
      </c>
      <c r="I100" s="59">
        <f t="shared" ca="1" si="52"/>
        <v>0</v>
      </c>
      <c r="J100" s="59">
        <f t="shared" ca="1" si="52"/>
        <v>0</v>
      </c>
      <c r="K100" s="59">
        <f t="shared" ca="1" si="52"/>
        <v>0</v>
      </c>
      <c r="L100" s="59">
        <f t="shared" ca="1" si="52"/>
        <v>0</v>
      </c>
      <c r="M100" s="59">
        <f t="shared" ca="1" si="52"/>
        <v>0</v>
      </c>
      <c r="N100" s="59">
        <f t="shared" ca="1" si="52"/>
        <v>0</v>
      </c>
      <c r="O100" s="60">
        <f t="shared" ca="1" si="52"/>
        <v>7.8970981985296946E-4</v>
      </c>
    </row>
    <row r="101" spans="1:15">
      <c r="A101" s="186"/>
      <c r="B101" s="17" t="s">
        <v>1156</v>
      </c>
      <c r="C101" s="58">
        <f t="shared" ca="1" si="52"/>
        <v>0</v>
      </c>
      <c r="D101" s="59">
        <f t="shared" ca="1" si="52"/>
        <v>0.38882145389531936</v>
      </c>
      <c r="E101" s="59">
        <f t="shared" ca="1" si="52"/>
        <v>0</v>
      </c>
      <c r="F101" s="59">
        <f t="shared" ca="1" si="52"/>
        <v>0</v>
      </c>
      <c r="G101" s="59">
        <f t="shared" ca="1" si="52"/>
        <v>0.64741313941151757</v>
      </c>
      <c r="H101" s="59">
        <f t="shared" ca="1" si="52"/>
        <v>0.25554315698016139</v>
      </c>
      <c r="I101" s="59">
        <f t="shared" ca="1" si="52"/>
        <v>0.540532410323323</v>
      </c>
      <c r="J101" s="59">
        <f t="shared" ca="1" si="52"/>
        <v>0</v>
      </c>
      <c r="K101" s="59">
        <f t="shared" ca="1" si="52"/>
        <v>0</v>
      </c>
      <c r="L101" s="59">
        <f t="shared" ca="1" si="52"/>
        <v>0</v>
      </c>
      <c r="M101" s="59">
        <f t="shared" ca="1" si="52"/>
        <v>0</v>
      </c>
      <c r="N101" s="59">
        <f t="shared" ca="1" si="52"/>
        <v>0</v>
      </c>
      <c r="O101" s="60">
        <f t="shared" ca="1" si="52"/>
        <v>0.32246215592199651</v>
      </c>
    </row>
    <row r="102" spans="1:15">
      <c r="A102" s="186"/>
      <c r="B102" s="17" t="s">
        <v>611</v>
      </c>
      <c r="C102" s="58">
        <f t="shared" ref="C102:O102" ca="1" si="53">IF(C76*C$78=0,0,C76/C$78)</f>
        <v>0</v>
      </c>
      <c r="D102" s="59">
        <f t="shared" ca="1" si="53"/>
        <v>0</v>
      </c>
      <c r="E102" s="59">
        <f t="shared" ca="1" si="53"/>
        <v>0</v>
      </c>
      <c r="F102" s="59">
        <f t="shared" ca="1" si="53"/>
        <v>0</v>
      </c>
      <c r="G102" s="59">
        <f t="shared" ca="1" si="53"/>
        <v>0</v>
      </c>
      <c r="H102" s="59">
        <f t="shared" ca="1" si="53"/>
        <v>0</v>
      </c>
      <c r="I102" s="59">
        <f t="shared" ca="1" si="53"/>
        <v>0</v>
      </c>
      <c r="J102" s="59">
        <f t="shared" ca="1" si="53"/>
        <v>0</v>
      </c>
      <c r="K102" s="59">
        <f t="shared" ca="1" si="53"/>
        <v>0</v>
      </c>
      <c r="L102" s="59">
        <f t="shared" ca="1" si="53"/>
        <v>0</v>
      </c>
      <c r="M102" s="59">
        <f t="shared" ca="1" si="53"/>
        <v>0</v>
      </c>
      <c r="N102" s="59">
        <f t="shared" ca="1" si="53"/>
        <v>0</v>
      </c>
      <c r="O102" s="60">
        <f t="shared" ca="1" si="53"/>
        <v>0</v>
      </c>
    </row>
    <row r="103" spans="1:15" ht="15.75" thickBot="1">
      <c r="A103" s="186"/>
      <c r="B103" s="17" t="s">
        <v>612</v>
      </c>
      <c r="C103" s="58">
        <f t="shared" ref="C103:O103" ca="1" si="54">IF(C77*C$78=0,0,C77/C$78)</f>
        <v>0</v>
      </c>
      <c r="D103" s="59">
        <f t="shared" ca="1" si="54"/>
        <v>0</v>
      </c>
      <c r="E103" s="59">
        <f t="shared" ca="1" si="54"/>
        <v>0</v>
      </c>
      <c r="F103" s="59">
        <f t="shared" ca="1" si="54"/>
        <v>0</v>
      </c>
      <c r="G103" s="59">
        <f t="shared" ca="1" si="54"/>
        <v>0</v>
      </c>
      <c r="H103" s="59">
        <f t="shared" ca="1" si="54"/>
        <v>8.5181052326720449E-2</v>
      </c>
      <c r="I103" s="59">
        <f t="shared" ca="1" si="54"/>
        <v>0</v>
      </c>
      <c r="J103" s="59">
        <f t="shared" ca="1" si="54"/>
        <v>0</v>
      </c>
      <c r="K103" s="59">
        <f t="shared" ca="1" si="54"/>
        <v>0</v>
      </c>
      <c r="L103" s="59">
        <f t="shared" ca="1" si="54"/>
        <v>0</v>
      </c>
      <c r="M103" s="59">
        <f t="shared" ca="1" si="54"/>
        <v>0</v>
      </c>
      <c r="N103" s="59">
        <f t="shared" ca="1" si="54"/>
        <v>0</v>
      </c>
      <c r="O103" s="60">
        <f t="shared" ca="1" si="54"/>
        <v>1.6123107796099826E-2</v>
      </c>
    </row>
    <row r="104" spans="1:15" ht="15.75" thickBot="1">
      <c r="A104" s="187"/>
      <c r="B104" s="14" t="s">
        <v>59</v>
      </c>
      <c r="C104" s="26">
        <f t="shared" ref="C104:O104" ca="1" si="55">IF(C78*C$78=0,0,C78/C$78)</f>
        <v>1</v>
      </c>
      <c r="D104" s="27">
        <f t="shared" ca="1" si="55"/>
        <v>1</v>
      </c>
      <c r="E104" s="27">
        <f t="shared" ca="1" si="55"/>
        <v>1</v>
      </c>
      <c r="F104" s="27">
        <f t="shared" ca="1" si="55"/>
        <v>1</v>
      </c>
      <c r="G104" s="27">
        <f t="shared" ca="1" si="55"/>
        <v>1</v>
      </c>
      <c r="H104" s="27">
        <f t="shared" ca="1" si="55"/>
        <v>1</v>
      </c>
      <c r="I104" s="27">
        <f t="shared" ca="1" si="55"/>
        <v>1</v>
      </c>
      <c r="J104" s="27">
        <f t="shared" ca="1" si="55"/>
        <v>1</v>
      </c>
      <c r="K104" s="27">
        <f t="shared" ca="1" si="55"/>
        <v>1</v>
      </c>
      <c r="L104" s="27">
        <f t="shared" ca="1" si="55"/>
        <v>1</v>
      </c>
      <c r="M104" s="27">
        <f t="shared" ca="1" si="55"/>
        <v>1</v>
      </c>
      <c r="N104" s="27">
        <f t="shared" ca="1" si="55"/>
        <v>1</v>
      </c>
      <c r="O104" s="28">
        <f t="shared" ca="1" si="55"/>
        <v>1</v>
      </c>
    </row>
    <row r="106" spans="1:15">
      <c r="K106" s="37"/>
    </row>
    <row r="107" spans="1:15">
      <c r="K107" s="37"/>
    </row>
    <row r="109" spans="1:15">
      <c r="K109" s="37"/>
    </row>
    <row r="111" spans="1:15">
      <c r="K111" s="37"/>
    </row>
    <row r="113" spans="11:11">
      <c r="K113" s="37"/>
    </row>
  </sheetData>
  <sortState xmlns:xlrd2="http://schemas.microsoft.com/office/spreadsheetml/2017/richdata2" ref="A2:O98">
    <sortCondition ref="B2"/>
  </sortState>
  <mergeCells count="4">
    <mergeCell ref="A2:A26"/>
    <mergeCell ref="A27:A52"/>
    <mergeCell ref="A53:A78"/>
    <mergeCell ref="A79:A104"/>
  </mergeCells>
  <conditionalFormatting sqref="C79:O103">
    <cfRule type="cellIs" dxfId="12" priority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rightToLeft="1" tabSelected="1" zoomScaleNormal="100" workbookViewId="0">
      <selection activeCell="F18" sqref="F18"/>
    </sheetView>
  </sheetViews>
  <sheetFormatPr defaultRowHeight="15" outlineLevelRow="1"/>
  <cols>
    <col min="1" max="1" width="19.140625" bestFit="1" customWidth="1"/>
    <col min="2" max="3" width="13.140625" bestFit="1" customWidth="1"/>
    <col min="4" max="4" width="12" bestFit="1" customWidth="1"/>
    <col min="5" max="5" width="11.5703125" bestFit="1" customWidth="1"/>
    <col min="6" max="6" width="11.85546875" bestFit="1" customWidth="1"/>
    <col min="7" max="7" width="12" bestFit="1" customWidth="1"/>
    <col min="8" max="8" width="13.140625" bestFit="1" customWidth="1"/>
    <col min="9" max="9" width="12" bestFit="1" customWidth="1"/>
    <col min="10" max="10" width="11.85546875" bestFit="1" customWidth="1"/>
    <col min="11" max="11" width="11" customWidth="1"/>
    <col min="12" max="12" width="12" bestFit="1" customWidth="1"/>
    <col min="13" max="13" width="11" bestFit="1" customWidth="1"/>
    <col min="14" max="14" width="12.7109375" bestFit="1" customWidth="1"/>
  </cols>
  <sheetData>
    <row r="1" spans="1:14" ht="15.75" thickBot="1">
      <c r="A1" s="33" t="s">
        <v>37</v>
      </c>
      <c r="B1" s="32" t="s">
        <v>41</v>
      </c>
      <c r="C1" s="32" t="s">
        <v>42</v>
      </c>
      <c r="D1" s="32" t="s">
        <v>43</v>
      </c>
      <c r="E1" s="32" t="s">
        <v>44</v>
      </c>
      <c r="F1" s="39" t="s">
        <v>45</v>
      </c>
      <c r="G1" s="32" t="s">
        <v>46</v>
      </c>
      <c r="H1" s="32" t="s">
        <v>47</v>
      </c>
      <c r="I1" s="32" t="s">
        <v>49</v>
      </c>
      <c r="J1" s="32" t="s">
        <v>48</v>
      </c>
      <c r="K1" s="32" t="s">
        <v>50</v>
      </c>
      <c r="L1" s="32" t="s">
        <v>51</v>
      </c>
      <c r="M1" s="30" t="s">
        <v>52</v>
      </c>
      <c r="N1" s="29" t="s">
        <v>53</v>
      </c>
    </row>
    <row r="2" spans="1:14">
      <c r="A2" s="34" t="s">
        <v>18</v>
      </c>
      <c r="B2" s="145"/>
      <c r="C2" s="145"/>
      <c r="D2" s="145"/>
      <c r="E2" s="145"/>
      <c r="F2" s="146"/>
      <c r="G2" s="145"/>
      <c r="H2" s="145"/>
      <c r="I2" s="145"/>
      <c r="J2" s="145"/>
      <c r="K2" s="145"/>
      <c r="L2" s="145"/>
      <c r="M2" s="147"/>
      <c r="N2" s="148">
        <f>SUM(B2:M2)</f>
        <v>0</v>
      </c>
    </row>
    <row r="3" spans="1:14">
      <c r="A3" s="10" t="s">
        <v>23</v>
      </c>
      <c r="B3" s="149"/>
      <c r="C3" s="149"/>
      <c r="D3" s="149"/>
      <c r="E3" s="149"/>
      <c r="F3" s="149"/>
      <c r="G3" s="149"/>
      <c r="H3" s="149"/>
      <c r="I3" s="149"/>
      <c r="J3" s="149"/>
      <c r="K3" s="146"/>
      <c r="L3" s="149"/>
      <c r="M3" s="150"/>
      <c r="N3" s="151">
        <f t="shared" ref="N3:N27" si="0">SUM(B3:M3)</f>
        <v>0</v>
      </c>
    </row>
    <row r="4" spans="1:14">
      <c r="A4" s="10" t="s">
        <v>27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51">
        <f t="shared" si="0"/>
        <v>0</v>
      </c>
    </row>
    <row r="5" spans="1:14">
      <c r="A5" s="10" t="s">
        <v>19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50"/>
      <c r="N5" s="151">
        <f t="shared" si="0"/>
        <v>0</v>
      </c>
    </row>
    <row r="6" spans="1:14">
      <c r="A6" s="10" t="s">
        <v>26</v>
      </c>
      <c r="B6" s="149"/>
      <c r="C6" s="149">
        <f>1715.1+192.73</f>
        <v>1907.83</v>
      </c>
      <c r="D6" s="149"/>
      <c r="E6" s="149">
        <f>1707.1+160.2</f>
        <v>1867.3</v>
      </c>
      <c r="F6" s="149"/>
      <c r="G6" s="149">
        <f>1602.9+160.53</f>
        <v>1763.43</v>
      </c>
      <c r="H6" s="149"/>
      <c r="I6" s="149">
        <f>1711.2+231.47</f>
        <v>1942.67</v>
      </c>
      <c r="J6" s="149"/>
      <c r="K6" s="149">
        <f>1711.2+236.71</f>
        <v>1947.91</v>
      </c>
      <c r="L6" s="149"/>
      <c r="M6" s="149">
        <f>1728.6+234.13</f>
        <v>1962.73</v>
      </c>
      <c r="N6" s="151">
        <f t="shared" si="0"/>
        <v>11391.87</v>
      </c>
    </row>
    <row r="7" spans="1:14">
      <c r="A7" s="10" t="s">
        <v>34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50"/>
      <c r="N7" s="151">
        <f t="shared" si="0"/>
        <v>0</v>
      </c>
    </row>
    <row r="8" spans="1:14">
      <c r="A8" s="10" t="s">
        <v>24</v>
      </c>
      <c r="B8" s="149"/>
      <c r="C8" s="149"/>
      <c r="D8" s="149"/>
      <c r="E8" s="149"/>
      <c r="F8" s="152"/>
      <c r="G8" s="149"/>
      <c r="H8" s="149"/>
      <c r="I8" s="149"/>
      <c r="J8" s="149"/>
      <c r="K8" s="149"/>
      <c r="L8" s="149"/>
      <c r="M8" s="149"/>
      <c r="N8" s="151">
        <f t="shared" si="0"/>
        <v>0</v>
      </c>
    </row>
    <row r="9" spans="1:14">
      <c r="A9" s="10" t="s">
        <v>29</v>
      </c>
      <c r="B9" s="149"/>
      <c r="C9" s="149"/>
      <c r="D9" s="146">
        <v>565</v>
      </c>
      <c r="E9" s="149"/>
      <c r="F9" s="149"/>
      <c r="G9" s="149"/>
      <c r="H9" s="149"/>
      <c r="I9" s="149"/>
      <c r="J9" s="149"/>
      <c r="K9" s="149"/>
      <c r="L9" s="149"/>
      <c r="M9" s="150"/>
      <c r="N9" s="151">
        <f t="shared" si="0"/>
        <v>565</v>
      </c>
    </row>
    <row r="10" spans="1:14">
      <c r="A10" s="10" t="s">
        <v>35</v>
      </c>
      <c r="B10" s="149">
        <f>200</f>
        <v>200</v>
      </c>
      <c r="C10" s="149">
        <f>200</f>
        <v>200</v>
      </c>
      <c r="D10" s="149">
        <f>200</f>
        <v>200</v>
      </c>
      <c r="E10" s="149">
        <f>200</f>
        <v>200</v>
      </c>
      <c r="F10" s="149">
        <f>200</f>
        <v>200</v>
      </c>
      <c r="G10" s="149">
        <f>200</f>
        <v>200</v>
      </c>
      <c r="H10" s="149">
        <f>200</f>
        <v>200</v>
      </c>
      <c r="I10" s="149"/>
      <c r="J10" s="149">
        <f>200</f>
        <v>200</v>
      </c>
      <c r="K10" s="149">
        <f>200</f>
        <v>200</v>
      </c>
      <c r="L10" s="149">
        <f>200</f>
        <v>200</v>
      </c>
      <c r="M10" s="149">
        <f>200</f>
        <v>200</v>
      </c>
      <c r="N10" s="151">
        <f t="shared" si="0"/>
        <v>2200</v>
      </c>
    </row>
    <row r="11" spans="1:14">
      <c r="A11" s="10" t="s">
        <v>20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6"/>
      <c r="L11" s="149"/>
      <c r="M11" s="150"/>
      <c r="N11" s="151">
        <f t="shared" si="0"/>
        <v>0</v>
      </c>
    </row>
    <row r="12" spans="1:14">
      <c r="A12" s="10" t="s">
        <v>75</v>
      </c>
      <c r="B12" s="149">
        <f>650.85+1000</f>
        <v>1650.85</v>
      </c>
      <c r="C12" s="149">
        <f>671.32+1000</f>
        <v>1671.3200000000002</v>
      </c>
      <c r="D12" s="149">
        <f>675.11+1000</f>
        <v>1675.1100000000001</v>
      </c>
      <c r="E12" s="149">
        <f>652.74+1000</f>
        <v>1652.74</v>
      </c>
      <c r="F12" s="149">
        <f>656.43+1000</f>
        <v>1656.4299999999998</v>
      </c>
      <c r="G12" s="149">
        <f t="shared" ref="G12:M12" si="1">650+1000</f>
        <v>1650</v>
      </c>
      <c r="H12" s="149">
        <f>699.04+1000</f>
        <v>1699.04</v>
      </c>
      <c r="I12" s="149">
        <f>650.85+1000</f>
        <v>1650.85</v>
      </c>
      <c r="J12" s="149">
        <f t="shared" si="1"/>
        <v>1650</v>
      </c>
      <c r="K12" s="149">
        <f>650.85+1000</f>
        <v>1650.85</v>
      </c>
      <c r="L12" s="149">
        <f t="shared" si="1"/>
        <v>1650</v>
      </c>
      <c r="M12" s="149">
        <f t="shared" si="1"/>
        <v>1650</v>
      </c>
      <c r="N12" s="151">
        <f t="shared" si="0"/>
        <v>19907.190000000002</v>
      </c>
    </row>
    <row r="13" spans="1:14">
      <c r="A13" s="10" t="s">
        <v>39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51">
        <f t="shared" si="0"/>
        <v>0</v>
      </c>
    </row>
    <row r="14" spans="1:14">
      <c r="A14" s="10" t="s">
        <v>25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52"/>
      <c r="M14" s="150"/>
      <c r="N14" s="151">
        <f t="shared" si="0"/>
        <v>0</v>
      </c>
    </row>
    <row r="15" spans="1:14">
      <c r="A15" s="10" t="s">
        <v>31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50"/>
      <c r="N15" s="151">
        <f t="shared" si="0"/>
        <v>0</v>
      </c>
    </row>
    <row r="16" spans="1:14">
      <c r="A16" s="10" t="s">
        <v>22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50"/>
      <c r="N16" s="151">
        <f t="shared" si="0"/>
        <v>0</v>
      </c>
    </row>
    <row r="17" spans="1:15">
      <c r="A17" s="10" t="s">
        <v>1254</v>
      </c>
      <c r="B17" s="149">
        <v>1150</v>
      </c>
      <c r="C17" s="149">
        <v>1150</v>
      </c>
      <c r="D17" s="149">
        <v>1150</v>
      </c>
      <c r="E17" s="149">
        <v>1150</v>
      </c>
      <c r="F17" s="149">
        <v>1150</v>
      </c>
      <c r="G17" s="149">
        <v>1150</v>
      </c>
      <c r="H17" s="149">
        <v>1150</v>
      </c>
      <c r="I17" s="149">
        <v>1150</v>
      </c>
      <c r="J17" s="149">
        <v>2850</v>
      </c>
      <c r="K17" s="149"/>
      <c r="L17" s="149">
        <v>2850</v>
      </c>
      <c r="M17" s="149"/>
      <c r="N17" s="151">
        <f t="shared" si="0"/>
        <v>14900</v>
      </c>
    </row>
    <row r="18" spans="1:15">
      <c r="A18" s="10" t="s">
        <v>32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51">
        <f t="shared" si="0"/>
        <v>0</v>
      </c>
      <c r="O18" t="s">
        <v>514</v>
      </c>
    </row>
    <row r="19" spans="1:15" ht="15.75" hidden="1" customHeight="1" outlineLevel="1">
      <c r="A19" s="10" t="s">
        <v>84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50"/>
      <c r="N19" s="151">
        <f t="shared" si="0"/>
        <v>0</v>
      </c>
    </row>
    <row r="20" spans="1:15" collapsed="1">
      <c r="A20" s="10" t="s">
        <v>28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50"/>
      <c r="N20" s="151">
        <f>SUM(B20:M20)</f>
        <v>0</v>
      </c>
    </row>
    <row r="21" spans="1:15">
      <c r="A21" s="10" t="s">
        <v>5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50"/>
      <c r="N21" s="151">
        <f t="shared" si="0"/>
        <v>0</v>
      </c>
    </row>
    <row r="22" spans="1:15">
      <c r="A22" s="11" t="s">
        <v>30</v>
      </c>
      <c r="B22" s="153"/>
      <c r="C22" s="153"/>
      <c r="D22" s="149"/>
      <c r="E22" s="149"/>
      <c r="F22" s="149"/>
      <c r="G22" s="149"/>
      <c r="H22" s="149"/>
      <c r="I22" s="153"/>
      <c r="J22" s="149"/>
      <c r="K22" s="149"/>
      <c r="L22" s="149"/>
      <c r="M22" s="154"/>
      <c r="N22" s="151">
        <f t="shared" si="0"/>
        <v>0</v>
      </c>
    </row>
    <row r="23" spans="1:15">
      <c r="A23" s="10" t="s">
        <v>21</v>
      </c>
      <c r="B23" s="153"/>
      <c r="C23" s="153"/>
      <c r="D23" s="153"/>
      <c r="E23" s="153"/>
      <c r="F23" s="153"/>
      <c r="G23" s="149"/>
      <c r="H23" s="153"/>
      <c r="I23" s="153"/>
      <c r="J23" s="153"/>
      <c r="K23" s="153"/>
      <c r="L23" s="153"/>
      <c r="M23" s="154"/>
      <c r="N23" s="151">
        <f t="shared" si="0"/>
        <v>0</v>
      </c>
    </row>
    <row r="24" spans="1:15">
      <c r="A24" s="10" t="s">
        <v>1156</v>
      </c>
      <c r="B24" s="153"/>
      <c r="C24" s="153">
        <v>22000</v>
      </c>
      <c r="D24" s="153"/>
      <c r="E24" s="153"/>
      <c r="F24" s="153">
        <v>40000</v>
      </c>
      <c r="G24" s="153">
        <v>15000</v>
      </c>
      <c r="H24" s="153">
        <v>23000</v>
      </c>
      <c r="I24" s="153"/>
      <c r="J24" s="153"/>
      <c r="K24" s="153"/>
      <c r="L24" s="153"/>
      <c r="M24" s="155"/>
      <c r="N24" s="151">
        <f t="shared" si="0"/>
        <v>100000</v>
      </c>
    </row>
    <row r="25" spans="1:15">
      <c r="A25" s="10" t="s">
        <v>611</v>
      </c>
      <c r="B25" s="153"/>
      <c r="C25" s="153"/>
      <c r="D25" s="153"/>
      <c r="E25" s="153"/>
      <c r="F25" s="149"/>
      <c r="G25" s="149"/>
      <c r="H25" s="149"/>
      <c r="I25" s="149"/>
      <c r="J25" s="149"/>
      <c r="K25" s="153"/>
      <c r="L25" s="149"/>
      <c r="M25" s="156"/>
      <c r="N25" s="151">
        <v>0</v>
      </c>
    </row>
    <row r="26" spans="1:15" ht="15.75" thickBot="1">
      <c r="A26" s="56" t="s">
        <v>612</v>
      </c>
      <c r="B26" s="157"/>
      <c r="C26" s="157"/>
      <c r="D26" s="157"/>
      <c r="E26" s="157"/>
      <c r="F26" s="157"/>
      <c r="G26" s="158">
        <v>5000</v>
      </c>
      <c r="H26" s="158"/>
      <c r="I26" s="158"/>
      <c r="J26" s="158"/>
      <c r="K26" s="157"/>
      <c r="L26" s="157"/>
      <c r="M26" s="157"/>
      <c r="N26" s="159">
        <f>SUM(B26:M26)</f>
        <v>5000</v>
      </c>
    </row>
    <row r="27" spans="1:15" ht="15.75" thickBot="1">
      <c r="A27" s="31" t="s">
        <v>60</v>
      </c>
      <c r="B27" s="160">
        <f>SUM(B2:B26)</f>
        <v>3000.85</v>
      </c>
      <c r="C27" s="160">
        <f t="shared" ref="C27:M27" si="2">SUM(C2:C26)</f>
        <v>26929.15</v>
      </c>
      <c r="D27" s="160">
        <f t="shared" si="2"/>
        <v>3590.11</v>
      </c>
      <c r="E27" s="160">
        <f t="shared" si="2"/>
        <v>4870.04</v>
      </c>
      <c r="F27" s="160">
        <f>SUM(F2:F26)</f>
        <v>43006.43</v>
      </c>
      <c r="G27" s="160">
        <f t="shared" si="2"/>
        <v>24763.43</v>
      </c>
      <c r="H27" s="160">
        <f t="shared" si="2"/>
        <v>26049.040000000001</v>
      </c>
      <c r="I27" s="160">
        <f t="shared" si="2"/>
        <v>4743.5200000000004</v>
      </c>
      <c r="J27" s="160">
        <f>SUM(J2:J26)</f>
        <v>4700</v>
      </c>
      <c r="K27" s="160">
        <f t="shared" si="2"/>
        <v>3798.7599999999998</v>
      </c>
      <c r="L27" s="160">
        <f>SUM(L2:L26)</f>
        <v>4700</v>
      </c>
      <c r="M27" s="161">
        <f t="shared" si="2"/>
        <v>3812.73</v>
      </c>
      <c r="N27" s="162">
        <f t="shared" si="0"/>
        <v>153964.06000000003</v>
      </c>
    </row>
    <row r="30" spans="1:15">
      <c r="H30" s="79"/>
    </row>
    <row r="31" spans="1:15">
      <c r="H31" s="79"/>
    </row>
    <row r="33" spans="7:7">
      <c r="G33" s="55"/>
    </row>
  </sheetData>
  <sortState xmlns:xlrd2="http://schemas.microsoft.com/office/spreadsheetml/2017/richdata2" ref="A3:A23">
    <sortCondition ref="A2"/>
  </sortState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G113"/>
  <sheetViews>
    <sheetView rightToLeft="1" zoomScaleNormal="100" workbookViewId="0">
      <pane xSplit="3" ySplit="1" topLeftCell="F17" activePane="bottomRight" state="frozen"/>
      <selection pane="topRight" activeCell="D1" sqref="D1"/>
      <selection pane="bottomLeft" activeCell="A2" sqref="A2"/>
      <selection pane="bottomRight" activeCell="A79" sqref="A79"/>
    </sheetView>
  </sheetViews>
  <sheetFormatPr defaultRowHeight="15"/>
  <cols>
    <col min="1" max="1" width="16.28515625" style="73" bestFit="1" customWidth="1"/>
    <col min="2" max="2" width="22.140625" style="73" bestFit="1" customWidth="1"/>
    <col min="3" max="3" width="11.140625" style="73" customWidth="1"/>
    <col min="4" max="4" width="10.7109375" style="73" bestFit="1" customWidth="1"/>
    <col min="5" max="5" width="6.42578125" style="73" customWidth="1"/>
    <col min="6" max="6" width="15.28515625" style="73" bestFit="1" customWidth="1"/>
    <col min="7" max="7" width="20.28515625" style="73" customWidth="1"/>
    <col min="8" max="8" width="12.140625" style="73" customWidth="1"/>
    <col min="9" max="9" width="10.28515625" style="73" customWidth="1"/>
    <col min="10" max="10" width="14.85546875" style="72" customWidth="1"/>
    <col min="11" max="11" width="12.140625" style="73" customWidth="1"/>
    <col min="12" max="12" width="17" style="73" bestFit="1" customWidth="1"/>
    <col min="13" max="13" width="9.140625" style="73"/>
    <col min="14" max="14" width="26.85546875" style="73" bestFit="1" customWidth="1"/>
    <col min="15" max="254" width="9.140625" style="73"/>
    <col min="255" max="256" width="16.42578125" style="73" customWidth="1"/>
    <col min="257" max="257" width="16.140625" style="73" customWidth="1"/>
    <col min="258" max="258" width="16.85546875" style="73" customWidth="1"/>
    <col min="259" max="259" width="17" style="73" customWidth="1"/>
    <col min="260" max="260" width="15.7109375" style="73" customWidth="1"/>
    <col min="261" max="262" width="17.42578125" style="73" customWidth="1"/>
    <col min="263" max="263" width="17.140625" style="73" customWidth="1"/>
    <col min="264" max="264" width="13.5703125" style="73" customWidth="1"/>
    <col min="265" max="265" width="13" style="73" customWidth="1"/>
    <col min="266" max="510" width="9.140625" style="73"/>
    <col min="511" max="512" width="16.42578125" style="73" customWidth="1"/>
    <col min="513" max="513" width="16.140625" style="73" customWidth="1"/>
    <col min="514" max="514" width="16.85546875" style="73" customWidth="1"/>
    <col min="515" max="515" width="17" style="73" customWidth="1"/>
    <col min="516" max="516" width="15.7109375" style="73" customWidth="1"/>
    <col min="517" max="518" width="17.42578125" style="73" customWidth="1"/>
    <col min="519" max="519" width="17.140625" style="73" customWidth="1"/>
    <col min="520" max="520" width="13.5703125" style="73" customWidth="1"/>
    <col min="521" max="521" width="13" style="73" customWidth="1"/>
    <col min="522" max="766" width="9.140625" style="73"/>
    <col min="767" max="768" width="16.42578125" style="73" customWidth="1"/>
    <col min="769" max="769" width="16.140625" style="73" customWidth="1"/>
    <col min="770" max="770" width="16.85546875" style="73" customWidth="1"/>
    <col min="771" max="771" width="17" style="73" customWidth="1"/>
    <col min="772" max="772" width="15.7109375" style="73" customWidth="1"/>
    <col min="773" max="774" width="17.42578125" style="73" customWidth="1"/>
    <col min="775" max="775" width="17.140625" style="73" customWidth="1"/>
    <col min="776" max="776" width="13.5703125" style="73" customWidth="1"/>
    <col min="777" max="777" width="13" style="73" customWidth="1"/>
    <col min="778" max="1022" width="9.140625" style="73"/>
    <col min="1023" max="1024" width="16.42578125" style="73" customWidth="1"/>
    <col min="1025" max="1025" width="16.140625" style="73" customWidth="1"/>
    <col min="1026" max="1026" width="16.85546875" style="73" customWidth="1"/>
    <col min="1027" max="1027" width="17" style="73" customWidth="1"/>
    <col min="1028" max="1028" width="15.7109375" style="73" customWidth="1"/>
    <col min="1029" max="1030" width="17.42578125" style="73" customWidth="1"/>
    <col min="1031" max="1031" width="17.140625" style="73" customWidth="1"/>
    <col min="1032" max="1032" width="13.5703125" style="73" customWidth="1"/>
    <col min="1033" max="1033" width="13" style="73" customWidth="1"/>
    <col min="1034" max="1278" width="9.140625" style="73"/>
    <col min="1279" max="1280" width="16.42578125" style="73" customWidth="1"/>
    <col min="1281" max="1281" width="16.140625" style="73" customWidth="1"/>
    <col min="1282" max="1282" width="16.85546875" style="73" customWidth="1"/>
    <col min="1283" max="1283" width="17" style="73" customWidth="1"/>
    <col min="1284" max="1284" width="15.7109375" style="73" customWidth="1"/>
    <col min="1285" max="1286" width="17.42578125" style="73" customWidth="1"/>
    <col min="1287" max="1287" width="17.140625" style="73" customWidth="1"/>
    <col min="1288" max="1288" width="13.5703125" style="73" customWidth="1"/>
    <col min="1289" max="1289" width="13" style="73" customWidth="1"/>
    <col min="1290" max="1534" width="9.140625" style="73"/>
    <col min="1535" max="1536" width="16.42578125" style="73" customWidth="1"/>
    <col min="1537" max="1537" width="16.140625" style="73" customWidth="1"/>
    <col min="1538" max="1538" width="16.85546875" style="73" customWidth="1"/>
    <col min="1539" max="1539" width="17" style="73" customWidth="1"/>
    <col min="1540" max="1540" width="15.7109375" style="73" customWidth="1"/>
    <col min="1541" max="1542" width="17.42578125" style="73" customWidth="1"/>
    <col min="1543" max="1543" width="17.140625" style="73" customWidth="1"/>
    <col min="1544" max="1544" width="13.5703125" style="73" customWidth="1"/>
    <col min="1545" max="1545" width="13" style="73" customWidth="1"/>
    <col min="1546" max="1790" width="9.140625" style="73"/>
    <col min="1791" max="1792" width="16.42578125" style="73" customWidth="1"/>
    <col min="1793" max="1793" width="16.140625" style="73" customWidth="1"/>
    <col min="1794" max="1794" width="16.85546875" style="73" customWidth="1"/>
    <col min="1795" max="1795" width="17" style="73" customWidth="1"/>
    <col min="1796" max="1796" width="15.7109375" style="73" customWidth="1"/>
    <col min="1797" max="1798" width="17.42578125" style="73" customWidth="1"/>
    <col min="1799" max="1799" width="17.140625" style="73" customWidth="1"/>
    <col min="1800" max="1800" width="13.5703125" style="73" customWidth="1"/>
    <col min="1801" max="1801" width="13" style="73" customWidth="1"/>
    <col min="1802" max="2046" width="9.140625" style="73"/>
    <col min="2047" max="2048" width="16.42578125" style="73" customWidth="1"/>
    <col min="2049" max="2049" width="16.140625" style="73" customWidth="1"/>
    <col min="2050" max="2050" width="16.85546875" style="73" customWidth="1"/>
    <col min="2051" max="2051" width="17" style="73" customWidth="1"/>
    <col min="2052" max="2052" width="15.7109375" style="73" customWidth="1"/>
    <col min="2053" max="2054" width="17.42578125" style="73" customWidth="1"/>
    <col min="2055" max="2055" width="17.140625" style="73" customWidth="1"/>
    <col min="2056" max="2056" width="13.5703125" style="73" customWidth="1"/>
    <col min="2057" max="2057" width="13" style="73" customWidth="1"/>
    <col min="2058" max="2302" width="9.140625" style="73"/>
    <col min="2303" max="2304" width="16.42578125" style="73" customWidth="1"/>
    <col min="2305" max="2305" width="16.140625" style="73" customWidth="1"/>
    <col min="2306" max="2306" width="16.85546875" style="73" customWidth="1"/>
    <col min="2307" max="2307" width="17" style="73" customWidth="1"/>
    <col min="2308" max="2308" width="15.7109375" style="73" customWidth="1"/>
    <col min="2309" max="2310" width="17.42578125" style="73" customWidth="1"/>
    <col min="2311" max="2311" width="17.140625" style="73" customWidth="1"/>
    <col min="2312" max="2312" width="13.5703125" style="73" customWidth="1"/>
    <col min="2313" max="2313" width="13" style="73" customWidth="1"/>
    <col min="2314" max="2558" width="9.140625" style="73"/>
    <col min="2559" max="2560" width="16.42578125" style="73" customWidth="1"/>
    <col min="2561" max="2561" width="16.140625" style="73" customWidth="1"/>
    <col min="2562" max="2562" width="16.85546875" style="73" customWidth="1"/>
    <col min="2563" max="2563" width="17" style="73" customWidth="1"/>
    <col min="2564" max="2564" width="15.7109375" style="73" customWidth="1"/>
    <col min="2565" max="2566" width="17.42578125" style="73" customWidth="1"/>
    <col min="2567" max="2567" width="17.140625" style="73" customWidth="1"/>
    <col min="2568" max="2568" width="13.5703125" style="73" customWidth="1"/>
    <col min="2569" max="2569" width="13" style="73" customWidth="1"/>
    <col min="2570" max="2814" width="9.140625" style="73"/>
    <col min="2815" max="2816" width="16.42578125" style="73" customWidth="1"/>
    <col min="2817" max="2817" width="16.140625" style="73" customWidth="1"/>
    <col min="2818" max="2818" width="16.85546875" style="73" customWidth="1"/>
    <col min="2819" max="2819" width="17" style="73" customWidth="1"/>
    <col min="2820" max="2820" width="15.7109375" style="73" customWidth="1"/>
    <col min="2821" max="2822" width="17.42578125" style="73" customWidth="1"/>
    <col min="2823" max="2823" width="17.140625" style="73" customWidth="1"/>
    <col min="2824" max="2824" width="13.5703125" style="73" customWidth="1"/>
    <col min="2825" max="2825" width="13" style="73" customWidth="1"/>
    <col min="2826" max="3070" width="9.140625" style="73"/>
    <col min="3071" max="3072" width="16.42578125" style="73" customWidth="1"/>
    <col min="3073" max="3073" width="16.140625" style="73" customWidth="1"/>
    <col min="3074" max="3074" width="16.85546875" style="73" customWidth="1"/>
    <col min="3075" max="3075" width="17" style="73" customWidth="1"/>
    <col min="3076" max="3076" width="15.7109375" style="73" customWidth="1"/>
    <col min="3077" max="3078" width="17.42578125" style="73" customWidth="1"/>
    <col min="3079" max="3079" width="17.140625" style="73" customWidth="1"/>
    <col min="3080" max="3080" width="13.5703125" style="73" customWidth="1"/>
    <col min="3081" max="3081" width="13" style="73" customWidth="1"/>
    <col min="3082" max="3326" width="9.140625" style="73"/>
    <col min="3327" max="3328" width="16.42578125" style="73" customWidth="1"/>
    <col min="3329" max="3329" width="16.140625" style="73" customWidth="1"/>
    <col min="3330" max="3330" width="16.85546875" style="73" customWidth="1"/>
    <col min="3331" max="3331" width="17" style="73" customWidth="1"/>
    <col min="3332" max="3332" width="15.7109375" style="73" customWidth="1"/>
    <col min="3333" max="3334" width="17.42578125" style="73" customWidth="1"/>
    <col min="3335" max="3335" width="17.140625" style="73" customWidth="1"/>
    <col min="3336" max="3336" width="13.5703125" style="73" customWidth="1"/>
    <col min="3337" max="3337" width="13" style="73" customWidth="1"/>
    <col min="3338" max="3582" width="9.140625" style="73"/>
    <col min="3583" max="3584" width="16.42578125" style="73" customWidth="1"/>
    <col min="3585" max="3585" width="16.140625" style="73" customWidth="1"/>
    <col min="3586" max="3586" width="16.85546875" style="73" customWidth="1"/>
    <col min="3587" max="3587" width="17" style="73" customWidth="1"/>
    <col min="3588" max="3588" width="15.7109375" style="73" customWidth="1"/>
    <col min="3589" max="3590" width="17.42578125" style="73" customWidth="1"/>
    <col min="3591" max="3591" width="17.140625" style="73" customWidth="1"/>
    <col min="3592" max="3592" width="13.5703125" style="73" customWidth="1"/>
    <col min="3593" max="3593" width="13" style="73" customWidth="1"/>
    <col min="3594" max="3838" width="9.140625" style="73"/>
    <col min="3839" max="3840" width="16.42578125" style="73" customWidth="1"/>
    <col min="3841" max="3841" width="16.140625" style="73" customWidth="1"/>
    <col min="3842" max="3842" width="16.85546875" style="73" customWidth="1"/>
    <col min="3843" max="3843" width="17" style="73" customWidth="1"/>
    <col min="3844" max="3844" width="15.7109375" style="73" customWidth="1"/>
    <col min="3845" max="3846" width="17.42578125" style="73" customWidth="1"/>
    <col min="3847" max="3847" width="17.140625" style="73" customWidth="1"/>
    <col min="3848" max="3848" width="13.5703125" style="73" customWidth="1"/>
    <col min="3849" max="3849" width="13" style="73" customWidth="1"/>
    <col min="3850" max="4094" width="9.140625" style="73"/>
    <col min="4095" max="4096" width="16.42578125" style="73" customWidth="1"/>
    <col min="4097" max="4097" width="16.140625" style="73" customWidth="1"/>
    <col min="4098" max="4098" width="16.85546875" style="73" customWidth="1"/>
    <col min="4099" max="4099" width="17" style="73" customWidth="1"/>
    <col min="4100" max="4100" width="15.7109375" style="73" customWidth="1"/>
    <col min="4101" max="4102" width="17.42578125" style="73" customWidth="1"/>
    <col min="4103" max="4103" width="17.140625" style="73" customWidth="1"/>
    <col min="4104" max="4104" width="13.5703125" style="73" customWidth="1"/>
    <col min="4105" max="4105" width="13" style="73" customWidth="1"/>
    <col min="4106" max="4350" width="9.140625" style="73"/>
    <col min="4351" max="4352" width="16.42578125" style="73" customWidth="1"/>
    <col min="4353" max="4353" width="16.140625" style="73" customWidth="1"/>
    <col min="4354" max="4354" width="16.85546875" style="73" customWidth="1"/>
    <col min="4355" max="4355" width="17" style="73" customWidth="1"/>
    <col min="4356" max="4356" width="15.7109375" style="73" customWidth="1"/>
    <col min="4357" max="4358" width="17.42578125" style="73" customWidth="1"/>
    <col min="4359" max="4359" width="17.140625" style="73" customWidth="1"/>
    <col min="4360" max="4360" width="13.5703125" style="73" customWidth="1"/>
    <col min="4361" max="4361" width="13" style="73" customWidth="1"/>
    <col min="4362" max="4606" width="9.140625" style="73"/>
    <col min="4607" max="4608" width="16.42578125" style="73" customWidth="1"/>
    <col min="4609" max="4609" width="16.140625" style="73" customWidth="1"/>
    <col min="4610" max="4610" width="16.85546875" style="73" customWidth="1"/>
    <col min="4611" max="4611" width="17" style="73" customWidth="1"/>
    <col min="4612" max="4612" width="15.7109375" style="73" customWidth="1"/>
    <col min="4613" max="4614" width="17.42578125" style="73" customWidth="1"/>
    <col min="4615" max="4615" width="17.140625" style="73" customWidth="1"/>
    <col min="4616" max="4616" width="13.5703125" style="73" customWidth="1"/>
    <col min="4617" max="4617" width="13" style="73" customWidth="1"/>
    <col min="4618" max="4862" width="9.140625" style="73"/>
    <col min="4863" max="4864" width="16.42578125" style="73" customWidth="1"/>
    <col min="4865" max="4865" width="16.140625" style="73" customWidth="1"/>
    <col min="4866" max="4866" width="16.85546875" style="73" customWidth="1"/>
    <col min="4867" max="4867" width="17" style="73" customWidth="1"/>
    <col min="4868" max="4868" width="15.7109375" style="73" customWidth="1"/>
    <col min="4869" max="4870" width="17.42578125" style="73" customWidth="1"/>
    <col min="4871" max="4871" width="17.140625" style="73" customWidth="1"/>
    <col min="4872" max="4872" width="13.5703125" style="73" customWidth="1"/>
    <col min="4873" max="4873" width="13" style="73" customWidth="1"/>
    <col min="4874" max="5118" width="9.140625" style="73"/>
    <col min="5119" max="5120" width="16.42578125" style="73" customWidth="1"/>
    <col min="5121" max="5121" width="16.140625" style="73" customWidth="1"/>
    <col min="5122" max="5122" width="16.85546875" style="73" customWidth="1"/>
    <col min="5123" max="5123" width="17" style="73" customWidth="1"/>
    <col min="5124" max="5124" width="15.7109375" style="73" customWidth="1"/>
    <col min="5125" max="5126" width="17.42578125" style="73" customWidth="1"/>
    <col min="5127" max="5127" width="17.140625" style="73" customWidth="1"/>
    <col min="5128" max="5128" width="13.5703125" style="73" customWidth="1"/>
    <col min="5129" max="5129" width="13" style="73" customWidth="1"/>
    <col min="5130" max="5374" width="9.140625" style="73"/>
    <col min="5375" max="5376" width="16.42578125" style="73" customWidth="1"/>
    <col min="5377" max="5377" width="16.140625" style="73" customWidth="1"/>
    <col min="5378" max="5378" width="16.85546875" style="73" customWidth="1"/>
    <col min="5379" max="5379" width="17" style="73" customWidth="1"/>
    <col min="5380" max="5380" width="15.7109375" style="73" customWidth="1"/>
    <col min="5381" max="5382" width="17.42578125" style="73" customWidth="1"/>
    <col min="5383" max="5383" width="17.140625" style="73" customWidth="1"/>
    <col min="5384" max="5384" width="13.5703125" style="73" customWidth="1"/>
    <col min="5385" max="5385" width="13" style="73" customWidth="1"/>
    <col min="5386" max="5630" width="9.140625" style="73"/>
    <col min="5631" max="5632" width="16.42578125" style="73" customWidth="1"/>
    <col min="5633" max="5633" width="16.140625" style="73" customWidth="1"/>
    <col min="5634" max="5634" width="16.85546875" style="73" customWidth="1"/>
    <col min="5635" max="5635" width="17" style="73" customWidth="1"/>
    <col min="5636" max="5636" width="15.7109375" style="73" customWidth="1"/>
    <col min="5637" max="5638" width="17.42578125" style="73" customWidth="1"/>
    <col min="5639" max="5639" width="17.140625" style="73" customWidth="1"/>
    <col min="5640" max="5640" width="13.5703125" style="73" customWidth="1"/>
    <col min="5641" max="5641" width="13" style="73" customWidth="1"/>
    <col min="5642" max="5886" width="9.140625" style="73"/>
    <col min="5887" max="5888" width="16.42578125" style="73" customWidth="1"/>
    <col min="5889" max="5889" width="16.140625" style="73" customWidth="1"/>
    <col min="5890" max="5890" width="16.85546875" style="73" customWidth="1"/>
    <col min="5891" max="5891" width="17" style="73" customWidth="1"/>
    <col min="5892" max="5892" width="15.7109375" style="73" customWidth="1"/>
    <col min="5893" max="5894" width="17.42578125" style="73" customWidth="1"/>
    <col min="5895" max="5895" width="17.140625" style="73" customWidth="1"/>
    <col min="5896" max="5896" width="13.5703125" style="73" customWidth="1"/>
    <col min="5897" max="5897" width="13" style="73" customWidth="1"/>
    <col min="5898" max="6142" width="9.140625" style="73"/>
    <col min="6143" max="6144" width="16.42578125" style="73" customWidth="1"/>
    <col min="6145" max="6145" width="16.140625" style="73" customWidth="1"/>
    <col min="6146" max="6146" width="16.85546875" style="73" customWidth="1"/>
    <col min="6147" max="6147" width="17" style="73" customWidth="1"/>
    <col min="6148" max="6148" width="15.7109375" style="73" customWidth="1"/>
    <col min="6149" max="6150" width="17.42578125" style="73" customWidth="1"/>
    <col min="6151" max="6151" width="17.140625" style="73" customWidth="1"/>
    <col min="6152" max="6152" width="13.5703125" style="73" customWidth="1"/>
    <col min="6153" max="6153" width="13" style="73" customWidth="1"/>
    <col min="6154" max="6398" width="9.140625" style="73"/>
    <col min="6399" max="6400" width="16.42578125" style="73" customWidth="1"/>
    <col min="6401" max="6401" width="16.140625" style="73" customWidth="1"/>
    <col min="6402" max="6402" width="16.85546875" style="73" customWidth="1"/>
    <col min="6403" max="6403" width="17" style="73" customWidth="1"/>
    <col min="6404" max="6404" width="15.7109375" style="73" customWidth="1"/>
    <col min="6405" max="6406" width="17.42578125" style="73" customWidth="1"/>
    <col min="6407" max="6407" width="17.140625" style="73" customWidth="1"/>
    <col min="6408" max="6408" width="13.5703125" style="73" customWidth="1"/>
    <col min="6409" max="6409" width="13" style="73" customWidth="1"/>
    <col min="6410" max="6654" width="9.140625" style="73"/>
    <col min="6655" max="6656" width="16.42578125" style="73" customWidth="1"/>
    <col min="6657" max="6657" width="16.140625" style="73" customWidth="1"/>
    <col min="6658" max="6658" width="16.85546875" style="73" customWidth="1"/>
    <col min="6659" max="6659" width="17" style="73" customWidth="1"/>
    <col min="6660" max="6660" width="15.7109375" style="73" customWidth="1"/>
    <col min="6661" max="6662" width="17.42578125" style="73" customWidth="1"/>
    <col min="6663" max="6663" width="17.140625" style="73" customWidth="1"/>
    <col min="6664" max="6664" width="13.5703125" style="73" customWidth="1"/>
    <col min="6665" max="6665" width="13" style="73" customWidth="1"/>
    <col min="6666" max="6910" width="9.140625" style="73"/>
    <col min="6911" max="6912" width="16.42578125" style="73" customWidth="1"/>
    <col min="6913" max="6913" width="16.140625" style="73" customWidth="1"/>
    <col min="6914" max="6914" width="16.85546875" style="73" customWidth="1"/>
    <col min="6915" max="6915" width="17" style="73" customWidth="1"/>
    <col min="6916" max="6916" width="15.7109375" style="73" customWidth="1"/>
    <col min="6917" max="6918" width="17.42578125" style="73" customWidth="1"/>
    <col min="6919" max="6919" width="17.140625" style="73" customWidth="1"/>
    <col min="6920" max="6920" width="13.5703125" style="73" customWidth="1"/>
    <col min="6921" max="6921" width="13" style="73" customWidth="1"/>
    <col min="6922" max="7166" width="9.140625" style="73"/>
    <col min="7167" max="7168" width="16.42578125" style="73" customWidth="1"/>
    <col min="7169" max="7169" width="16.140625" style="73" customWidth="1"/>
    <col min="7170" max="7170" width="16.85546875" style="73" customWidth="1"/>
    <col min="7171" max="7171" width="17" style="73" customWidth="1"/>
    <col min="7172" max="7172" width="15.7109375" style="73" customWidth="1"/>
    <col min="7173" max="7174" width="17.42578125" style="73" customWidth="1"/>
    <col min="7175" max="7175" width="17.140625" style="73" customWidth="1"/>
    <col min="7176" max="7176" width="13.5703125" style="73" customWidth="1"/>
    <col min="7177" max="7177" width="13" style="73" customWidth="1"/>
    <col min="7178" max="7422" width="9.140625" style="73"/>
    <col min="7423" max="7424" width="16.42578125" style="73" customWidth="1"/>
    <col min="7425" max="7425" width="16.140625" style="73" customWidth="1"/>
    <col min="7426" max="7426" width="16.85546875" style="73" customWidth="1"/>
    <col min="7427" max="7427" width="17" style="73" customWidth="1"/>
    <col min="7428" max="7428" width="15.7109375" style="73" customWidth="1"/>
    <col min="7429" max="7430" width="17.42578125" style="73" customWidth="1"/>
    <col min="7431" max="7431" width="17.140625" style="73" customWidth="1"/>
    <col min="7432" max="7432" width="13.5703125" style="73" customWidth="1"/>
    <col min="7433" max="7433" width="13" style="73" customWidth="1"/>
    <col min="7434" max="7678" width="9.140625" style="73"/>
    <col min="7679" max="7680" width="16.42578125" style="73" customWidth="1"/>
    <col min="7681" max="7681" width="16.140625" style="73" customWidth="1"/>
    <col min="7682" max="7682" width="16.85546875" style="73" customWidth="1"/>
    <col min="7683" max="7683" width="17" style="73" customWidth="1"/>
    <col min="7684" max="7684" width="15.7109375" style="73" customWidth="1"/>
    <col min="7685" max="7686" width="17.42578125" style="73" customWidth="1"/>
    <col min="7687" max="7687" width="17.140625" style="73" customWidth="1"/>
    <col min="7688" max="7688" width="13.5703125" style="73" customWidth="1"/>
    <col min="7689" max="7689" width="13" style="73" customWidth="1"/>
    <col min="7690" max="7934" width="9.140625" style="73"/>
    <col min="7935" max="7936" width="16.42578125" style="73" customWidth="1"/>
    <col min="7937" max="7937" width="16.140625" style="73" customWidth="1"/>
    <col min="7938" max="7938" width="16.85546875" style="73" customWidth="1"/>
    <col min="7939" max="7939" width="17" style="73" customWidth="1"/>
    <col min="7940" max="7940" width="15.7109375" style="73" customWidth="1"/>
    <col min="7941" max="7942" width="17.42578125" style="73" customWidth="1"/>
    <col min="7943" max="7943" width="17.140625" style="73" customWidth="1"/>
    <col min="7944" max="7944" width="13.5703125" style="73" customWidth="1"/>
    <col min="7945" max="7945" width="13" style="73" customWidth="1"/>
    <col min="7946" max="8190" width="9.140625" style="73"/>
    <col min="8191" max="8192" width="16.42578125" style="73" customWidth="1"/>
    <col min="8193" max="8193" width="16.140625" style="73" customWidth="1"/>
    <col min="8194" max="8194" width="16.85546875" style="73" customWidth="1"/>
    <col min="8195" max="8195" width="17" style="73" customWidth="1"/>
    <col min="8196" max="8196" width="15.7109375" style="73" customWidth="1"/>
    <col min="8197" max="8198" width="17.42578125" style="73" customWidth="1"/>
    <col min="8199" max="8199" width="17.140625" style="73" customWidth="1"/>
    <col min="8200" max="8200" width="13.5703125" style="73" customWidth="1"/>
    <col min="8201" max="8201" width="13" style="73" customWidth="1"/>
    <col min="8202" max="8446" width="9.140625" style="73"/>
    <col min="8447" max="8448" width="16.42578125" style="73" customWidth="1"/>
    <col min="8449" max="8449" width="16.140625" style="73" customWidth="1"/>
    <col min="8450" max="8450" width="16.85546875" style="73" customWidth="1"/>
    <col min="8451" max="8451" width="17" style="73" customWidth="1"/>
    <col min="8452" max="8452" width="15.7109375" style="73" customWidth="1"/>
    <col min="8453" max="8454" width="17.42578125" style="73" customWidth="1"/>
    <col min="8455" max="8455" width="17.140625" style="73" customWidth="1"/>
    <col min="8456" max="8456" width="13.5703125" style="73" customWidth="1"/>
    <col min="8457" max="8457" width="13" style="73" customWidth="1"/>
    <col min="8458" max="8702" width="9.140625" style="73"/>
    <col min="8703" max="8704" width="16.42578125" style="73" customWidth="1"/>
    <col min="8705" max="8705" width="16.140625" style="73" customWidth="1"/>
    <col min="8706" max="8706" width="16.85546875" style="73" customWidth="1"/>
    <col min="8707" max="8707" width="17" style="73" customWidth="1"/>
    <col min="8708" max="8708" width="15.7109375" style="73" customWidth="1"/>
    <col min="8709" max="8710" width="17.42578125" style="73" customWidth="1"/>
    <col min="8711" max="8711" width="17.140625" style="73" customWidth="1"/>
    <col min="8712" max="8712" width="13.5703125" style="73" customWidth="1"/>
    <col min="8713" max="8713" width="13" style="73" customWidth="1"/>
    <col min="8714" max="8958" width="9.140625" style="73"/>
    <col min="8959" max="8960" width="16.42578125" style="73" customWidth="1"/>
    <col min="8961" max="8961" width="16.140625" style="73" customWidth="1"/>
    <col min="8962" max="8962" width="16.85546875" style="73" customWidth="1"/>
    <col min="8963" max="8963" width="17" style="73" customWidth="1"/>
    <col min="8964" max="8964" width="15.7109375" style="73" customWidth="1"/>
    <col min="8965" max="8966" width="17.42578125" style="73" customWidth="1"/>
    <col min="8967" max="8967" width="17.140625" style="73" customWidth="1"/>
    <col min="8968" max="8968" width="13.5703125" style="73" customWidth="1"/>
    <col min="8969" max="8969" width="13" style="73" customWidth="1"/>
    <col min="8970" max="9214" width="9.140625" style="73"/>
    <col min="9215" max="9216" width="16.42578125" style="73" customWidth="1"/>
    <col min="9217" max="9217" width="16.140625" style="73" customWidth="1"/>
    <col min="9218" max="9218" width="16.85546875" style="73" customWidth="1"/>
    <col min="9219" max="9219" width="17" style="73" customWidth="1"/>
    <col min="9220" max="9220" width="15.7109375" style="73" customWidth="1"/>
    <col min="9221" max="9222" width="17.42578125" style="73" customWidth="1"/>
    <col min="9223" max="9223" width="17.140625" style="73" customWidth="1"/>
    <col min="9224" max="9224" width="13.5703125" style="73" customWidth="1"/>
    <col min="9225" max="9225" width="13" style="73" customWidth="1"/>
    <col min="9226" max="9470" width="9.140625" style="73"/>
    <col min="9471" max="9472" width="16.42578125" style="73" customWidth="1"/>
    <col min="9473" max="9473" width="16.140625" style="73" customWidth="1"/>
    <col min="9474" max="9474" width="16.85546875" style="73" customWidth="1"/>
    <col min="9475" max="9475" width="17" style="73" customWidth="1"/>
    <col min="9476" max="9476" width="15.7109375" style="73" customWidth="1"/>
    <col min="9477" max="9478" width="17.42578125" style="73" customWidth="1"/>
    <col min="9479" max="9479" width="17.140625" style="73" customWidth="1"/>
    <col min="9480" max="9480" width="13.5703125" style="73" customWidth="1"/>
    <col min="9481" max="9481" width="13" style="73" customWidth="1"/>
    <col min="9482" max="9726" width="9.140625" style="73"/>
    <col min="9727" max="9728" width="16.42578125" style="73" customWidth="1"/>
    <col min="9729" max="9729" width="16.140625" style="73" customWidth="1"/>
    <col min="9730" max="9730" width="16.85546875" style="73" customWidth="1"/>
    <col min="9731" max="9731" width="17" style="73" customWidth="1"/>
    <col min="9732" max="9732" width="15.7109375" style="73" customWidth="1"/>
    <col min="9733" max="9734" width="17.42578125" style="73" customWidth="1"/>
    <col min="9735" max="9735" width="17.140625" style="73" customWidth="1"/>
    <col min="9736" max="9736" width="13.5703125" style="73" customWidth="1"/>
    <col min="9737" max="9737" width="13" style="73" customWidth="1"/>
    <col min="9738" max="9982" width="9.140625" style="73"/>
    <col min="9983" max="9984" width="16.42578125" style="73" customWidth="1"/>
    <col min="9985" max="9985" width="16.140625" style="73" customWidth="1"/>
    <col min="9986" max="9986" width="16.85546875" style="73" customWidth="1"/>
    <col min="9987" max="9987" width="17" style="73" customWidth="1"/>
    <col min="9988" max="9988" width="15.7109375" style="73" customWidth="1"/>
    <col min="9989" max="9990" width="17.42578125" style="73" customWidth="1"/>
    <col min="9991" max="9991" width="17.140625" style="73" customWidth="1"/>
    <col min="9992" max="9992" width="13.5703125" style="73" customWidth="1"/>
    <col min="9993" max="9993" width="13" style="73" customWidth="1"/>
    <col min="9994" max="10238" width="9.140625" style="73"/>
    <col min="10239" max="10240" width="16.42578125" style="73" customWidth="1"/>
    <col min="10241" max="10241" width="16.140625" style="73" customWidth="1"/>
    <col min="10242" max="10242" width="16.85546875" style="73" customWidth="1"/>
    <col min="10243" max="10243" width="17" style="73" customWidth="1"/>
    <col min="10244" max="10244" width="15.7109375" style="73" customWidth="1"/>
    <col min="10245" max="10246" width="17.42578125" style="73" customWidth="1"/>
    <col min="10247" max="10247" width="17.140625" style="73" customWidth="1"/>
    <col min="10248" max="10248" width="13.5703125" style="73" customWidth="1"/>
    <col min="10249" max="10249" width="13" style="73" customWidth="1"/>
    <col min="10250" max="10494" width="9.140625" style="73"/>
    <col min="10495" max="10496" width="16.42578125" style="73" customWidth="1"/>
    <col min="10497" max="10497" width="16.140625" style="73" customWidth="1"/>
    <col min="10498" max="10498" width="16.85546875" style="73" customWidth="1"/>
    <col min="10499" max="10499" width="17" style="73" customWidth="1"/>
    <col min="10500" max="10500" width="15.7109375" style="73" customWidth="1"/>
    <col min="10501" max="10502" width="17.42578125" style="73" customWidth="1"/>
    <col min="10503" max="10503" width="17.140625" style="73" customWidth="1"/>
    <col min="10504" max="10504" width="13.5703125" style="73" customWidth="1"/>
    <col min="10505" max="10505" width="13" style="73" customWidth="1"/>
    <col min="10506" max="10750" width="9.140625" style="73"/>
    <col min="10751" max="10752" width="16.42578125" style="73" customWidth="1"/>
    <col min="10753" max="10753" width="16.140625" style="73" customWidth="1"/>
    <col min="10754" max="10754" width="16.85546875" style="73" customWidth="1"/>
    <col min="10755" max="10755" width="17" style="73" customWidth="1"/>
    <col min="10756" max="10756" width="15.7109375" style="73" customWidth="1"/>
    <col min="10757" max="10758" width="17.42578125" style="73" customWidth="1"/>
    <col min="10759" max="10759" width="17.140625" style="73" customWidth="1"/>
    <col min="10760" max="10760" width="13.5703125" style="73" customWidth="1"/>
    <col min="10761" max="10761" width="13" style="73" customWidth="1"/>
    <col min="10762" max="11006" width="9.140625" style="73"/>
    <col min="11007" max="11008" width="16.42578125" style="73" customWidth="1"/>
    <col min="11009" max="11009" width="16.140625" style="73" customWidth="1"/>
    <col min="11010" max="11010" width="16.85546875" style="73" customWidth="1"/>
    <col min="11011" max="11011" width="17" style="73" customWidth="1"/>
    <col min="11012" max="11012" width="15.7109375" style="73" customWidth="1"/>
    <col min="11013" max="11014" width="17.42578125" style="73" customWidth="1"/>
    <col min="11015" max="11015" width="17.140625" style="73" customWidth="1"/>
    <col min="11016" max="11016" width="13.5703125" style="73" customWidth="1"/>
    <col min="11017" max="11017" width="13" style="73" customWidth="1"/>
    <col min="11018" max="11262" width="9.140625" style="73"/>
    <col min="11263" max="11264" width="16.42578125" style="73" customWidth="1"/>
    <col min="11265" max="11265" width="16.140625" style="73" customWidth="1"/>
    <col min="11266" max="11266" width="16.85546875" style="73" customWidth="1"/>
    <col min="11267" max="11267" width="17" style="73" customWidth="1"/>
    <col min="11268" max="11268" width="15.7109375" style="73" customWidth="1"/>
    <col min="11269" max="11270" width="17.42578125" style="73" customWidth="1"/>
    <col min="11271" max="11271" width="17.140625" style="73" customWidth="1"/>
    <col min="11272" max="11272" width="13.5703125" style="73" customWidth="1"/>
    <col min="11273" max="11273" width="13" style="73" customWidth="1"/>
    <col min="11274" max="11518" width="9.140625" style="73"/>
    <col min="11519" max="11520" width="16.42578125" style="73" customWidth="1"/>
    <col min="11521" max="11521" width="16.140625" style="73" customWidth="1"/>
    <col min="11522" max="11522" width="16.85546875" style="73" customWidth="1"/>
    <col min="11523" max="11523" width="17" style="73" customWidth="1"/>
    <col min="11524" max="11524" width="15.7109375" style="73" customWidth="1"/>
    <col min="11525" max="11526" width="17.42578125" style="73" customWidth="1"/>
    <col min="11527" max="11527" width="17.140625" style="73" customWidth="1"/>
    <col min="11528" max="11528" width="13.5703125" style="73" customWidth="1"/>
    <col min="11529" max="11529" width="13" style="73" customWidth="1"/>
    <col min="11530" max="11774" width="9.140625" style="73"/>
    <col min="11775" max="11776" width="16.42578125" style="73" customWidth="1"/>
    <col min="11777" max="11777" width="16.140625" style="73" customWidth="1"/>
    <col min="11778" max="11778" width="16.85546875" style="73" customWidth="1"/>
    <col min="11779" max="11779" width="17" style="73" customWidth="1"/>
    <col min="11780" max="11780" width="15.7109375" style="73" customWidth="1"/>
    <col min="11781" max="11782" width="17.42578125" style="73" customWidth="1"/>
    <col min="11783" max="11783" width="17.140625" style="73" customWidth="1"/>
    <col min="11784" max="11784" width="13.5703125" style="73" customWidth="1"/>
    <col min="11785" max="11785" width="13" style="73" customWidth="1"/>
    <col min="11786" max="12030" width="9.140625" style="73"/>
    <col min="12031" max="12032" width="16.42578125" style="73" customWidth="1"/>
    <col min="12033" max="12033" width="16.140625" style="73" customWidth="1"/>
    <col min="12034" max="12034" width="16.85546875" style="73" customWidth="1"/>
    <col min="12035" max="12035" width="17" style="73" customWidth="1"/>
    <col min="12036" max="12036" width="15.7109375" style="73" customWidth="1"/>
    <col min="12037" max="12038" width="17.42578125" style="73" customWidth="1"/>
    <col min="12039" max="12039" width="17.140625" style="73" customWidth="1"/>
    <col min="12040" max="12040" width="13.5703125" style="73" customWidth="1"/>
    <col min="12041" max="12041" width="13" style="73" customWidth="1"/>
    <col min="12042" max="12286" width="9.140625" style="73"/>
    <col min="12287" max="12288" width="16.42578125" style="73" customWidth="1"/>
    <col min="12289" max="12289" width="16.140625" style="73" customWidth="1"/>
    <col min="12290" max="12290" width="16.85546875" style="73" customWidth="1"/>
    <col min="12291" max="12291" width="17" style="73" customWidth="1"/>
    <col min="12292" max="12292" width="15.7109375" style="73" customWidth="1"/>
    <col min="12293" max="12294" width="17.42578125" style="73" customWidth="1"/>
    <col min="12295" max="12295" width="17.140625" style="73" customWidth="1"/>
    <col min="12296" max="12296" width="13.5703125" style="73" customWidth="1"/>
    <col min="12297" max="12297" width="13" style="73" customWidth="1"/>
    <col min="12298" max="12542" width="9.140625" style="73"/>
    <col min="12543" max="12544" width="16.42578125" style="73" customWidth="1"/>
    <col min="12545" max="12545" width="16.140625" style="73" customWidth="1"/>
    <col min="12546" max="12546" width="16.85546875" style="73" customWidth="1"/>
    <col min="12547" max="12547" width="17" style="73" customWidth="1"/>
    <col min="12548" max="12548" width="15.7109375" style="73" customWidth="1"/>
    <col min="12549" max="12550" width="17.42578125" style="73" customWidth="1"/>
    <col min="12551" max="12551" width="17.140625" style="73" customWidth="1"/>
    <col min="12552" max="12552" width="13.5703125" style="73" customWidth="1"/>
    <col min="12553" max="12553" width="13" style="73" customWidth="1"/>
    <col min="12554" max="12798" width="9.140625" style="73"/>
    <col min="12799" max="12800" width="16.42578125" style="73" customWidth="1"/>
    <col min="12801" max="12801" width="16.140625" style="73" customWidth="1"/>
    <col min="12802" max="12802" width="16.85546875" style="73" customWidth="1"/>
    <col min="12803" max="12803" width="17" style="73" customWidth="1"/>
    <col min="12804" max="12804" width="15.7109375" style="73" customWidth="1"/>
    <col min="12805" max="12806" width="17.42578125" style="73" customWidth="1"/>
    <col min="12807" max="12807" width="17.140625" style="73" customWidth="1"/>
    <col min="12808" max="12808" width="13.5703125" style="73" customWidth="1"/>
    <col min="12809" max="12809" width="13" style="73" customWidth="1"/>
    <col min="12810" max="13054" width="9.140625" style="73"/>
    <col min="13055" max="13056" width="16.42578125" style="73" customWidth="1"/>
    <col min="13057" max="13057" width="16.140625" style="73" customWidth="1"/>
    <col min="13058" max="13058" width="16.85546875" style="73" customWidth="1"/>
    <col min="13059" max="13059" width="17" style="73" customWidth="1"/>
    <col min="13060" max="13060" width="15.7109375" style="73" customWidth="1"/>
    <col min="13061" max="13062" width="17.42578125" style="73" customWidth="1"/>
    <col min="13063" max="13063" width="17.140625" style="73" customWidth="1"/>
    <col min="13064" max="13064" width="13.5703125" style="73" customWidth="1"/>
    <col min="13065" max="13065" width="13" style="73" customWidth="1"/>
    <col min="13066" max="13310" width="9.140625" style="73"/>
    <col min="13311" max="13312" width="16.42578125" style="73" customWidth="1"/>
    <col min="13313" max="13313" width="16.140625" style="73" customWidth="1"/>
    <col min="13314" max="13314" width="16.85546875" style="73" customWidth="1"/>
    <col min="13315" max="13315" width="17" style="73" customWidth="1"/>
    <col min="13316" max="13316" width="15.7109375" style="73" customWidth="1"/>
    <col min="13317" max="13318" width="17.42578125" style="73" customWidth="1"/>
    <col min="13319" max="13319" width="17.140625" style="73" customWidth="1"/>
    <col min="13320" max="13320" width="13.5703125" style="73" customWidth="1"/>
    <col min="13321" max="13321" width="13" style="73" customWidth="1"/>
    <col min="13322" max="13566" width="9.140625" style="73"/>
    <col min="13567" max="13568" width="16.42578125" style="73" customWidth="1"/>
    <col min="13569" max="13569" width="16.140625" style="73" customWidth="1"/>
    <col min="13570" max="13570" width="16.85546875" style="73" customWidth="1"/>
    <col min="13571" max="13571" width="17" style="73" customWidth="1"/>
    <col min="13572" max="13572" width="15.7109375" style="73" customWidth="1"/>
    <col min="13573" max="13574" width="17.42578125" style="73" customWidth="1"/>
    <col min="13575" max="13575" width="17.140625" style="73" customWidth="1"/>
    <col min="13576" max="13576" width="13.5703125" style="73" customWidth="1"/>
    <col min="13577" max="13577" width="13" style="73" customWidth="1"/>
    <col min="13578" max="13822" width="9.140625" style="73"/>
    <col min="13823" max="13824" width="16.42578125" style="73" customWidth="1"/>
    <col min="13825" max="13825" width="16.140625" style="73" customWidth="1"/>
    <col min="13826" max="13826" width="16.85546875" style="73" customWidth="1"/>
    <col min="13827" max="13827" width="17" style="73" customWidth="1"/>
    <col min="13828" max="13828" width="15.7109375" style="73" customWidth="1"/>
    <col min="13829" max="13830" width="17.42578125" style="73" customWidth="1"/>
    <col min="13831" max="13831" width="17.140625" style="73" customWidth="1"/>
    <col min="13832" max="13832" width="13.5703125" style="73" customWidth="1"/>
    <col min="13833" max="13833" width="13" style="73" customWidth="1"/>
    <col min="13834" max="14078" width="9.140625" style="73"/>
    <col min="14079" max="14080" width="16.42578125" style="73" customWidth="1"/>
    <col min="14081" max="14081" width="16.140625" style="73" customWidth="1"/>
    <col min="14082" max="14082" width="16.85546875" style="73" customWidth="1"/>
    <col min="14083" max="14083" width="17" style="73" customWidth="1"/>
    <col min="14084" max="14084" width="15.7109375" style="73" customWidth="1"/>
    <col min="14085" max="14086" width="17.42578125" style="73" customWidth="1"/>
    <col min="14087" max="14087" width="17.140625" style="73" customWidth="1"/>
    <col min="14088" max="14088" width="13.5703125" style="73" customWidth="1"/>
    <col min="14089" max="14089" width="13" style="73" customWidth="1"/>
    <col min="14090" max="14334" width="9.140625" style="73"/>
    <col min="14335" max="14336" width="16.42578125" style="73" customWidth="1"/>
    <col min="14337" max="14337" width="16.140625" style="73" customWidth="1"/>
    <col min="14338" max="14338" width="16.85546875" style="73" customWidth="1"/>
    <col min="14339" max="14339" width="17" style="73" customWidth="1"/>
    <col min="14340" max="14340" width="15.7109375" style="73" customWidth="1"/>
    <col min="14341" max="14342" width="17.42578125" style="73" customWidth="1"/>
    <col min="14343" max="14343" width="17.140625" style="73" customWidth="1"/>
    <col min="14344" max="14344" width="13.5703125" style="73" customWidth="1"/>
    <col min="14345" max="14345" width="13" style="73" customWidth="1"/>
    <col min="14346" max="14590" width="9.140625" style="73"/>
    <col min="14591" max="14592" width="16.42578125" style="73" customWidth="1"/>
    <col min="14593" max="14593" width="16.140625" style="73" customWidth="1"/>
    <col min="14594" max="14594" width="16.85546875" style="73" customWidth="1"/>
    <col min="14595" max="14595" width="17" style="73" customWidth="1"/>
    <col min="14596" max="14596" width="15.7109375" style="73" customWidth="1"/>
    <col min="14597" max="14598" width="17.42578125" style="73" customWidth="1"/>
    <col min="14599" max="14599" width="17.140625" style="73" customWidth="1"/>
    <col min="14600" max="14600" width="13.5703125" style="73" customWidth="1"/>
    <col min="14601" max="14601" width="13" style="73" customWidth="1"/>
    <col min="14602" max="14846" width="9.140625" style="73"/>
    <col min="14847" max="14848" width="16.42578125" style="73" customWidth="1"/>
    <col min="14849" max="14849" width="16.140625" style="73" customWidth="1"/>
    <col min="14850" max="14850" width="16.85546875" style="73" customWidth="1"/>
    <col min="14851" max="14851" width="17" style="73" customWidth="1"/>
    <col min="14852" max="14852" width="15.7109375" style="73" customWidth="1"/>
    <col min="14853" max="14854" width="17.42578125" style="73" customWidth="1"/>
    <col min="14855" max="14855" width="17.140625" style="73" customWidth="1"/>
    <col min="14856" max="14856" width="13.5703125" style="73" customWidth="1"/>
    <col min="14857" max="14857" width="13" style="73" customWidth="1"/>
    <col min="14858" max="15102" width="9.140625" style="73"/>
    <col min="15103" max="15104" width="16.42578125" style="73" customWidth="1"/>
    <col min="15105" max="15105" width="16.140625" style="73" customWidth="1"/>
    <col min="15106" max="15106" width="16.85546875" style="73" customWidth="1"/>
    <col min="15107" max="15107" width="17" style="73" customWidth="1"/>
    <col min="15108" max="15108" width="15.7109375" style="73" customWidth="1"/>
    <col min="15109" max="15110" width="17.42578125" style="73" customWidth="1"/>
    <col min="15111" max="15111" width="17.140625" style="73" customWidth="1"/>
    <col min="15112" max="15112" width="13.5703125" style="73" customWidth="1"/>
    <col min="15113" max="15113" width="13" style="73" customWidth="1"/>
    <col min="15114" max="15358" width="9.140625" style="73"/>
    <col min="15359" max="15360" width="16.42578125" style="73" customWidth="1"/>
    <col min="15361" max="15361" width="16.140625" style="73" customWidth="1"/>
    <col min="15362" max="15362" width="16.85546875" style="73" customWidth="1"/>
    <col min="15363" max="15363" width="17" style="73" customWidth="1"/>
    <col min="15364" max="15364" width="15.7109375" style="73" customWidth="1"/>
    <col min="15365" max="15366" width="17.42578125" style="73" customWidth="1"/>
    <col min="15367" max="15367" width="17.140625" style="73" customWidth="1"/>
    <col min="15368" max="15368" width="13.5703125" style="73" customWidth="1"/>
    <col min="15369" max="15369" width="13" style="73" customWidth="1"/>
    <col min="15370" max="15614" width="9.140625" style="73"/>
    <col min="15615" max="15616" width="16.42578125" style="73" customWidth="1"/>
    <col min="15617" max="15617" width="16.140625" style="73" customWidth="1"/>
    <col min="15618" max="15618" width="16.85546875" style="73" customWidth="1"/>
    <col min="15619" max="15619" width="17" style="73" customWidth="1"/>
    <col min="15620" max="15620" width="15.7109375" style="73" customWidth="1"/>
    <col min="15621" max="15622" width="17.42578125" style="73" customWidth="1"/>
    <col min="15623" max="15623" width="17.140625" style="73" customWidth="1"/>
    <col min="15624" max="15624" width="13.5703125" style="73" customWidth="1"/>
    <col min="15625" max="15625" width="13" style="73" customWidth="1"/>
    <col min="15626" max="15870" width="9.140625" style="73"/>
    <col min="15871" max="15872" width="16.42578125" style="73" customWidth="1"/>
    <col min="15873" max="15873" width="16.140625" style="73" customWidth="1"/>
    <col min="15874" max="15874" width="16.85546875" style="73" customWidth="1"/>
    <col min="15875" max="15875" width="17" style="73" customWidth="1"/>
    <col min="15876" max="15876" width="15.7109375" style="73" customWidth="1"/>
    <col min="15877" max="15878" width="17.42578125" style="73" customWidth="1"/>
    <col min="15879" max="15879" width="17.140625" style="73" customWidth="1"/>
    <col min="15880" max="15880" width="13.5703125" style="73" customWidth="1"/>
    <col min="15881" max="15881" width="13" style="73" customWidth="1"/>
    <col min="15882" max="16126" width="9.140625" style="73"/>
    <col min="16127" max="16128" width="16.42578125" style="73" customWidth="1"/>
    <col min="16129" max="16129" width="16.140625" style="73" customWidth="1"/>
    <col min="16130" max="16130" width="16.85546875" style="73" customWidth="1"/>
    <col min="16131" max="16131" width="17" style="73" customWidth="1"/>
    <col min="16132" max="16132" width="15.7109375" style="73" customWidth="1"/>
    <col min="16133" max="16134" width="17.42578125" style="73" customWidth="1"/>
    <col min="16135" max="16135" width="17.140625" style="73" customWidth="1"/>
    <col min="16136" max="16136" width="13.5703125" style="73" customWidth="1"/>
    <col min="16137" max="16137" width="13" style="73" customWidth="1"/>
    <col min="16138" max="16384" width="9.140625" style="73"/>
  </cols>
  <sheetData>
    <row r="1" spans="1:111" s="72" customFormat="1" ht="26.25" customHeight="1">
      <c r="A1" s="70" t="s">
        <v>0</v>
      </c>
      <c r="B1" s="70" t="s">
        <v>123</v>
      </c>
      <c r="C1" s="70" t="s">
        <v>107</v>
      </c>
      <c r="D1" s="70" t="s">
        <v>1</v>
      </c>
      <c r="E1" s="70" t="s">
        <v>603</v>
      </c>
      <c r="F1" s="70" t="s">
        <v>3</v>
      </c>
      <c r="G1" s="70" t="s">
        <v>4</v>
      </c>
      <c r="H1" s="70" t="s">
        <v>2</v>
      </c>
      <c r="I1" s="70" t="s">
        <v>604</v>
      </c>
      <c r="J1" s="70" t="s">
        <v>618</v>
      </c>
      <c r="K1" s="71" t="s">
        <v>617</v>
      </c>
      <c r="L1" s="71" t="s">
        <v>37</v>
      </c>
      <c r="M1" s="71" t="s">
        <v>38</v>
      </c>
      <c r="N1" s="71" t="s">
        <v>613</v>
      </c>
    </row>
    <row r="2" spans="1:111" hidden="1">
      <c r="A2" s="135" t="s">
        <v>1355</v>
      </c>
      <c r="B2" s="135" t="s">
        <v>1241</v>
      </c>
      <c r="C2" s="135" t="s">
        <v>1366</v>
      </c>
      <c r="D2" s="136">
        <v>37</v>
      </c>
      <c r="E2" s="135" t="s">
        <v>1367</v>
      </c>
      <c r="F2" s="135" t="s">
        <v>1368</v>
      </c>
      <c r="G2" s="135" t="s">
        <v>1369</v>
      </c>
      <c r="H2" s="135" t="s">
        <v>1370</v>
      </c>
      <c r="I2" s="136">
        <v>37</v>
      </c>
      <c r="J2" s="106"/>
      <c r="K2" t="str">
        <f>IF(A2&gt;0,VLOOKUP(A2,טבלאות!$J:$K,2,0),"")</f>
        <v>אשראי מיכה</v>
      </c>
      <c r="L2" s="50" t="str">
        <f>IF(ISERROR(VLOOKUP(B2,טבלאות!$G:$H,2,0)),"",VLOOKUP(B2,טבלאות!$G:$H,2,0))</f>
        <v>מוצרי חשמל ותקשורת</v>
      </c>
      <c r="M2" s="51">
        <f t="shared" ref="M2:M50" si="0">IF(OR(L2="",L2="?"),"",IF(L2&gt;0,I2,""))</f>
        <v>37</v>
      </c>
    </row>
    <row r="3" spans="1:111" s="74" customFormat="1" ht="19.5" hidden="1" customHeight="1">
      <c r="A3" s="135" t="s">
        <v>1355</v>
      </c>
      <c r="B3" s="135" t="s">
        <v>358</v>
      </c>
      <c r="C3" s="135" t="s">
        <v>1371</v>
      </c>
      <c r="D3" s="136">
        <v>69.900000000000006</v>
      </c>
      <c r="E3" s="135" t="s">
        <v>1367</v>
      </c>
      <c r="F3" s="135" t="s">
        <v>1372</v>
      </c>
      <c r="G3" s="135" t="s">
        <v>1373</v>
      </c>
      <c r="H3" s="135" t="s">
        <v>1370</v>
      </c>
      <c r="I3" s="136">
        <v>69.900000000000006</v>
      </c>
      <c r="J3" s="106"/>
      <c r="K3" t="str">
        <f>IF(A3&gt;0,VLOOKUP(A3,טבלאות!$J:$K,2,0),"")</f>
        <v>אשראי מיכה</v>
      </c>
      <c r="L3" s="50" t="str">
        <f>IF(ISERROR(VLOOKUP(B3,טבלאות!$G:$H,2,0)),"",VLOOKUP(B3,טבלאות!$G:$H,2,0))</f>
        <v>מוצרי חשמל ותקשורת</v>
      </c>
      <c r="M3" s="51">
        <f t="shared" si="0"/>
        <v>69.900000000000006</v>
      </c>
    </row>
    <row r="4" spans="1:111" ht="15" hidden="1" customHeight="1">
      <c r="A4" s="135" t="s">
        <v>1355</v>
      </c>
      <c r="B4" s="135" t="s">
        <v>649</v>
      </c>
      <c r="C4" s="135" t="s">
        <v>1371</v>
      </c>
      <c r="D4" s="136">
        <v>72</v>
      </c>
      <c r="E4" s="135" t="s">
        <v>1367</v>
      </c>
      <c r="F4" s="135" t="s">
        <v>1368</v>
      </c>
      <c r="G4" s="135" t="s">
        <v>1369</v>
      </c>
      <c r="H4" s="135" t="s">
        <v>1370</v>
      </c>
      <c r="I4" s="136">
        <v>72</v>
      </c>
      <c r="J4" s="106"/>
      <c r="K4" t="str">
        <f>IF(A4&gt;0,VLOOKUP(A4,טבלאות!$J:$K,2,0),"")</f>
        <v>אשראי מיכה</v>
      </c>
      <c r="L4" s="50" t="str">
        <f>IF(ISERROR(VLOOKUP(B4,טבלאות!$G:$H,2,0)),"",VLOOKUP(B4,טבלאות!$G:$H,2,0))</f>
        <v>מזון ומשקאות</v>
      </c>
      <c r="M4" s="51">
        <f t="shared" si="0"/>
        <v>72</v>
      </c>
    </row>
    <row r="5" spans="1:111" ht="15" hidden="1" customHeight="1">
      <c r="A5" s="135" t="s">
        <v>1355</v>
      </c>
      <c r="B5" s="135" t="s">
        <v>966</v>
      </c>
      <c r="C5" s="135" t="s">
        <v>1371</v>
      </c>
      <c r="D5" s="136">
        <v>1050.03</v>
      </c>
      <c r="E5" s="135" t="s">
        <v>1367</v>
      </c>
      <c r="F5" s="135" t="s">
        <v>1368</v>
      </c>
      <c r="G5" s="135" t="s">
        <v>1369</v>
      </c>
      <c r="H5" s="135" t="s">
        <v>1370</v>
      </c>
      <c r="I5" s="136">
        <v>1050.03</v>
      </c>
      <c r="J5" s="106"/>
      <c r="K5" t="str">
        <f>IF(A5&gt;0,VLOOKUP(A5,טבלאות!$J:$K,2,0),"")</f>
        <v>אשראי מיכה</v>
      </c>
      <c r="L5" s="50" t="str">
        <f>IF(ISERROR(VLOOKUP(B5,טבלאות!$G:$H,2,0)),"",VLOOKUP(B5,טבלאות!$G:$H,2,0))</f>
        <v>מזון ומשקאות</v>
      </c>
      <c r="M5" s="51">
        <f t="shared" si="0"/>
        <v>1050.03</v>
      </c>
    </row>
    <row r="6" spans="1:111" ht="20.25" hidden="1" customHeight="1">
      <c r="A6" s="135" t="s">
        <v>764</v>
      </c>
      <c r="B6" s="135" t="s">
        <v>137</v>
      </c>
      <c r="C6" s="135" t="s">
        <v>1371</v>
      </c>
      <c r="D6" s="136">
        <v>233.28</v>
      </c>
      <c r="E6" s="135" t="s">
        <v>1367</v>
      </c>
      <c r="F6" s="135" t="s">
        <v>1368</v>
      </c>
      <c r="G6" s="135" t="s">
        <v>1369</v>
      </c>
      <c r="H6" s="135" t="s">
        <v>1370</v>
      </c>
      <c r="I6" s="136">
        <v>233.28</v>
      </c>
      <c r="J6" s="106"/>
      <c r="K6" t="str">
        <f>IF(A6&gt;0,VLOOKUP(A6,טבלאות!$J:$K,2,0),"")</f>
        <v>אשראי אורנה</v>
      </c>
      <c r="L6" s="50" t="str">
        <f>IF(ISERROR(VLOOKUP(B6,טבלאות!$G:$H,2,0)),"",VLOOKUP(B6,טבלאות!$G:$H,2,0))</f>
        <v>רכב ותחבורה</v>
      </c>
      <c r="M6" s="51">
        <f t="shared" si="0"/>
        <v>233.28</v>
      </c>
    </row>
    <row r="7" spans="1:111" ht="15.75" hidden="1" customHeight="1">
      <c r="A7" s="135" t="s">
        <v>1355</v>
      </c>
      <c r="B7" s="135" t="s">
        <v>86</v>
      </c>
      <c r="C7" s="135" t="s">
        <v>1374</v>
      </c>
      <c r="D7" s="136">
        <v>310.82</v>
      </c>
      <c r="E7" s="135" t="s">
        <v>1367</v>
      </c>
      <c r="F7" s="135" t="s">
        <v>1368</v>
      </c>
      <c r="G7" s="135" t="s">
        <v>1375</v>
      </c>
      <c r="H7" s="135" t="s">
        <v>1370</v>
      </c>
      <c r="I7" s="136">
        <v>310.82</v>
      </c>
      <c r="J7" s="106"/>
      <c r="K7" t="str">
        <f>IF(A7&gt;0,VLOOKUP(A7,טבלאות!$J:$K,2,0),"")</f>
        <v>אשראי מיכה</v>
      </c>
      <c r="L7" s="50" t="str">
        <f>IF(ISERROR(VLOOKUP(B7,טבלאות!$G:$H,2,0)),"",VLOOKUP(B7,טבלאות!$G:$H,2,0))</f>
        <v>מוצרי חשמל ותקשורת</v>
      </c>
      <c r="M7" s="51">
        <f t="shared" si="0"/>
        <v>310.82</v>
      </c>
    </row>
    <row r="8" spans="1:111" ht="15" hidden="1" customHeight="1">
      <c r="A8" s="135" t="s">
        <v>1355</v>
      </c>
      <c r="B8" s="135" t="s">
        <v>886</v>
      </c>
      <c r="C8" s="135" t="s">
        <v>1374</v>
      </c>
      <c r="D8" s="136">
        <v>48.66</v>
      </c>
      <c r="E8" s="135" t="s">
        <v>1367</v>
      </c>
      <c r="F8" s="135" t="s">
        <v>1368</v>
      </c>
      <c r="G8" s="135" t="s">
        <v>1369</v>
      </c>
      <c r="H8" s="135" t="s">
        <v>1370</v>
      </c>
      <c r="I8" s="136">
        <v>48.66</v>
      </c>
      <c r="J8" s="106"/>
      <c r="K8" t="str">
        <f>IF(A8&gt;0,VLOOKUP(A8,טבלאות!$J:$K,2,0),"")</f>
        <v>אשראי מיכה</v>
      </c>
      <c r="L8" s="50" t="str">
        <f>IF(ISERROR(VLOOKUP(B8,טבלאות!$G:$H,2,0)),"",VLOOKUP(B8,טבלאות!$G:$H,2,0))</f>
        <v>מזון ומשקאות</v>
      </c>
      <c r="M8" s="51">
        <f t="shared" si="0"/>
        <v>48.66</v>
      </c>
    </row>
    <row r="9" spans="1:111" ht="15" hidden="1" customHeight="1">
      <c r="A9" s="135" t="s">
        <v>1355</v>
      </c>
      <c r="B9" s="135" t="s">
        <v>1299</v>
      </c>
      <c r="C9" s="135" t="s">
        <v>1376</v>
      </c>
      <c r="D9" s="136">
        <v>35</v>
      </c>
      <c r="E9" s="135" t="s">
        <v>1367</v>
      </c>
      <c r="F9" s="135" t="s">
        <v>1368</v>
      </c>
      <c r="G9" s="135" t="s">
        <v>1369</v>
      </c>
      <c r="H9" s="135" t="s">
        <v>1370</v>
      </c>
      <c r="I9" s="136">
        <v>35</v>
      </c>
      <c r="J9" s="106"/>
      <c r="K9" t="str">
        <f>IF(A9&gt;0,VLOOKUP(A9,טבלאות!$J:$K,2,0),"")</f>
        <v>אשראי מיכה</v>
      </c>
      <c r="L9" s="50" t="str">
        <f>IF(ISERROR(VLOOKUP(B9,טבלאות!$G:$H,2,0)),"",VLOOKUP(B9,טבלאות!$G:$H,2,0))</f>
        <v>רכב ותחבורה</v>
      </c>
      <c r="M9" s="51">
        <f t="shared" si="0"/>
        <v>35</v>
      </c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</row>
    <row r="10" spans="1:111" ht="12.75" hidden="1" customHeight="1">
      <c r="A10" s="135" t="s">
        <v>764</v>
      </c>
      <c r="B10" s="135" t="s">
        <v>1160</v>
      </c>
      <c r="C10" s="135" t="s">
        <v>1376</v>
      </c>
      <c r="D10" s="136">
        <v>43</v>
      </c>
      <c r="E10" s="135" t="s">
        <v>1367</v>
      </c>
      <c r="F10" s="135" t="s">
        <v>1368</v>
      </c>
      <c r="G10" s="135" t="s">
        <v>1377</v>
      </c>
      <c r="H10" s="135" t="s">
        <v>1370</v>
      </c>
      <c r="I10" s="136">
        <v>43</v>
      </c>
      <c r="J10" s="106"/>
      <c r="K10" t="str">
        <f>IF(A10&gt;0,VLOOKUP(A10,טבלאות!$J:$K,2,0),"")</f>
        <v>אשראי אורנה</v>
      </c>
      <c r="L10" s="50" t="str">
        <f>IF(ISERROR(VLOOKUP(B10,טבלאות!$G:$H,2,0)),"",VLOOKUP(B10,טבלאות!$G:$H,2,0))</f>
        <v>רכב ותחבורה</v>
      </c>
      <c r="M10" s="51">
        <f t="shared" si="0"/>
        <v>43</v>
      </c>
    </row>
    <row r="11" spans="1:111" ht="12.75" hidden="1" customHeight="1">
      <c r="A11" s="135" t="s">
        <v>1355</v>
      </c>
      <c r="B11" s="135" t="s">
        <v>638</v>
      </c>
      <c r="C11" s="135" t="s">
        <v>1378</v>
      </c>
      <c r="D11" s="136">
        <v>129.80000000000001</v>
      </c>
      <c r="E11" s="135" t="s">
        <v>1367</v>
      </c>
      <c r="F11" s="135" t="s">
        <v>1368</v>
      </c>
      <c r="G11" s="135" t="s">
        <v>1369</v>
      </c>
      <c r="H11" s="135" t="s">
        <v>1370</v>
      </c>
      <c r="I11" s="136">
        <v>129.80000000000001</v>
      </c>
      <c r="J11" s="106"/>
      <c r="K11" t="str">
        <f>IF(A11&gt;0,VLOOKUP(A11,טבלאות!$J:$K,2,0),"")</f>
        <v>אשראי מיכה</v>
      </c>
      <c r="L11" s="50" t="str">
        <f>IF(ISERROR(VLOOKUP(B11,טבלאות!$G:$H,2,0)),"",VLOOKUP(B11,טבלאות!$G:$H,2,0))</f>
        <v>מזון ומשקאות</v>
      </c>
      <c r="M11" s="51">
        <f t="shared" si="0"/>
        <v>129.80000000000001</v>
      </c>
    </row>
    <row r="12" spans="1:111" hidden="1">
      <c r="A12" s="135" t="s">
        <v>1355</v>
      </c>
      <c r="B12" s="135" t="s">
        <v>518</v>
      </c>
      <c r="C12" s="135" t="s">
        <v>1379</v>
      </c>
      <c r="D12" s="136">
        <v>114.16</v>
      </c>
      <c r="E12" s="135" t="s">
        <v>1367</v>
      </c>
      <c r="F12" s="135" t="s">
        <v>1368</v>
      </c>
      <c r="G12" s="135" t="s">
        <v>1369</v>
      </c>
      <c r="H12" s="135" t="s">
        <v>1370</v>
      </c>
      <c r="I12" s="136">
        <v>114.16</v>
      </c>
      <c r="J12" s="106"/>
      <c r="K12" t="str">
        <f>IF(A12&gt;0,VLOOKUP(A12,טבלאות!$J:$K,2,0),"")</f>
        <v>אשראי מיכה</v>
      </c>
      <c r="L12" s="50" t="str">
        <f>IF(ISERROR(VLOOKUP(B12,טבלאות!$G:$H,2,0)),"",VLOOKUP(B12,טבלאות!$G:$H,2,0))</f>
        <v>מזון ומשקאות</v>
      </c>
      <c r="M12" s="51">
        <f t="shared" si="0"/>
        <v>114.16</v>
      </c>
    </row>
    <row r="13" spans="1:111" hidden="1">
      <c r="A13" s="135" t="s">
        <v>1355</v>
      </c>
      <c r="B13" s="135" t="s">
        <v>518</v>
      </c>
      <c r="C13" s="135" t="s">
        <v>1379</v>
      </c>
      <c r="D13" s="136">
        <v>96.32</v>
      </c>
      <c r="E13" s="135" t="s">
        <v>1367</v>
      </c>
      <c r="F13" s="135" t="s">
        <v>1368</v>
      </c>
      <c r="G13" s="135" t="s">
        <v>1369</v>
      </c>
      <c r="H13" s="135" t="s">
        <v>1370</v>
      </c>
      <c r="I13" s="136">
        <v>96.32</v>
      </c>
      <c r="J13" s="106"/>
      <c r="K13" t="str">
        <f>IF(A13&gt;0,VLOOKUP(A13,טבלאות!$J:$K,2,0),"")</f>
        <v>אשראי מיכה</v>
      </c>
      <c r="L13" s="50" t="str">
        <f>IF(ISERROR(VLOOKUP(B13,טבלאות!$G:$H,2,0)),"",VLOOKUP(B13,טבלאות!$G:$H,2,0))</f>
        <v>מזון ומשקאות</v>
      </c>
      <c r="M13" s="51">
        <f t="shared" si="0"/>
        <v>96.32</v>
      </c>
    </row>
    <row r="14" spans="1:111" hidden="1">
      <c r="A14" s="135" t="s">
        <v>1355</v>
      </c>
      <c r="B14" s="135" t="s">
        <v>1026</v>
      </c>
      <c r="C14" s="135" t="s">
        <v>1379</v>
      </c>
      <c r="D14" s="136">
        <v>52.28</v>
      </c>
      <c r="E14" s="135" t="s">
        <v>1367</v>
      </c>
      <c r="F14" s="135" t="s">
        <v>1368</v>
      </c>
      <c r="G14" s="135" t="s">
        <v>1375</v>
      </c>
      <c r="H14" s="135" t="s">
        <v>1370</v>
      </c>
      <c r="I14" s="136">
        <v>52.28</v>
      </c>
      <c r="J14" s="106"/>
      <c r="K14" t="str">
        <f>IF(A14&gt;0,VLOOKUP(A14,טבלאות!$J:$K,2,0),"")</f>
        <v>אשראי מיכה</v>
      </c>
      <c r="L14" s="50" t="str">
        <f>IF(ISERROR(VLOOKUP(B14,טבלאות!$G:$H,2,0)),"",VLOOKUP(B14,טבלאות!$G:$H,2,0))</f>
        <v>רכב ותחבורה</v>
      </c>
      <c r="M14" s="51">
        <f t="shared" si="0"/>
        <v>52.28</v>
      </c>
    </row>
    <row r="15" spans="1:111" hidden="1">
      <c r="A15" s="135" t="s">
        <v>764</v>
      </c>
      <c r="B15" s="135" t="s">
        <v>581</v>
      </c>
      <c r="C15" s="135" t="s">
        <v>1379</v>
      </c>
      <c r="D15" s="136">
        <v>60</v>
      </c>
      <c r="E15" s="135" t="s">
        <v>1367</v>
      </c>
      <c r="F15" s="135" t="s">
        <v>1368</v>
      </c>
      <c r="G15" s="135" t="s">
        <v>1380</v>
      </c>
      <c r="H15" s="135" t="s">
        <v>1370</v>
      </c>
      <c r="I15" s="136">
        <v>60</v>
      </c>
      <c r="J15" s="106"/>
      <c r="K15" t="str">
        <f>IF(A15&gt;0,VLOOKUP(A15,טבלאות!$J:$K,2,0),"")</f>
        <v>אשראי אורנה</v>
      </c>
      <c r="L15" s="50" t="str">
        <f>IF(ISERROR(VLOOKUP(B15,טבלאות!$G:$H,2,0)),"",VLOOKUP(B15,טבלאות!$G:$H,2,0))</f>
        <v>חוגים</v>
      </c>
      <c r="M15" s="51">
        <f t="shared" si="0"/>
        <v>60</v>
      </c>
    </row>
    <row r="16" spans="1:111" hidden="1">
      <c r="A16" s="135" t="s">
        <v>764</v>
      </c>
      <c r="B16" s="135" t="s">
        <v>1381</v>
      </c>
      <c r="C16" s="135" t="s">
        <v>1382</v>
      </c>
      <c r="D16" s="136">
        <v>8956</v>
      </c>
      <c r="E16" s="135" t="s">
        <v>1367</v>
      </c>
      <c r="F16" s="135" t="s">
        <v>1383</v>
      </c>
      <c r="G16" s="135" t="s">
        <v>1384</v>
      </c>
      <c r="H16" s="135" t="s">
        <v>1370</v>
      </c>
      <c r="I16" s="136">
        <v>750</v>
      </c>
      <c r="J16" s="106"/>
      <c r="K16" t="str">
        <f>IF(A16&gt;0,VLOOKUP(A16,טבלאות!$J:$K,2,0),"")</f>
        <v>אשראי אורנה</v>
      </c>
      <c r="L16" s="50" t="str">
        <f>IF(ISERROR(VLOOKUP(B16,טבלאות!$G:$H,2,0)),"",VLOOKUP(B16,טבלאות!$G:$H,2,0))</f>
        <v>בית ספר</v>
      </c>
      <c r="M16" s="51">
        <f t="shared" si="0"/>
        <v>750</v>
      </c>
    </row>
    <row r="17" spans="1:13">
      <c r="A17" s="135" t="s">
        <v>764</v>
      </c>
      <c r="B17" s="135" t="s">
        <v>1098</v>
      </c>
      <c r="C17" s="135" t="s">
        <v>1382</v>
      </c>
      <c r="D17" s="136">
        <v>56.93</v>
      </c>
      <c r="E17" s="135" t="s">
        <v>1367</v>
      </c>
      <c r="F17" s="135" t="s">
        <v>1368</v>
      </c>
      <c r="G17" s="135" t="s">
        <v>1375</v>
      </c>
      <c r="H17" s="135" t="s">
        <v>1370</v>
      </c>
      <c r="I17" s="136">
        <v>56.93</v>
      </c>
      <c r="J17" s="106"/>
      <c r="K17" t="str">
        <f>IF(A17&gt;0,VLOOKUP(A17,טבלאות!$J:$K,2,0),"")</f>
        <v>אשראי אורנה</v>
      </c>
      <c r="L17" s="50" t="str">
        <f>IF(ISERROR(VLOOKUP(B17,טבלאות!$G:$H,2,0)),"",VLOOKUP(B17,טבלאות!$G:$H,2,0))</f>
        <v>ביטוח</v>
      </c>
      <c r="M17" s="51">
        <f t="shared" si="0"/>
        <v>56.93</v>
      </c>
    </row>
    <row r="18" spans="1:13" hidden="1">
      <c r="A18" s="135" t="s">
        <v>764</v>
      </c>
      <c r="B18" s="135" t="s">
        <v>246</v>
      </c>
      <c r="C18" s="135" t="s">
        <v>1385</v>
      </c>
      <c r="D18" s="136">
        <v>260</v>
      </c>
      <c r="E18" s="135" t="s">
        <v>1367</v>
      </c>
      <c r="F18" s="135" t="s">
        <v>1368</v>
      </c>
      <c r="G18" s="135" t="s">
        <v>1386</v>
      </c>
      <c r="H18" s="135" t="s">
        <v>1370</v>
      </c>
      <c r="I18" s="136">
        <v>260</v>
      </c>
      <c r="J18" s="106"/>
      <c r="K18" t="str">
        <f>IF(A18&gt;0,VLOOKUP(A18,טבלאות!$J:$K,2,0),"")</f>
        <v>אשראי אורנה</v>
      </c>
      <c r="L18" s="50" t="str">
        <f>IF(ISERROR(VLOOKUP(B18,טבלאות!$G:$H,2,0)),"",VLOOKUP(B18,טבלאות!$G:$H,2,0))</f>
        <v>חוגים</v>
      </c>
      <c r="M18" s="51">
        <f t="shared" si="0"/>
        <v>260</v>
      </c>
    </row>
    <row r="19" spans="1:13" hidden="1">
      <c r="A19" s="135" t="s">
        <v>1355</v>
      </c>
      <c r="B19" s="135" t="s">
        <v>76</v>
      </c>
      <c r="C19" s="135" t="s">
        <v>1387</v>
      </c>
      <c r="D19" s="136">
        <v>62.81</v>
      </c>
      <c r="E19" s="135" t="s">
        <v>1367</v>
      </c>
      <c r="F19" s="135" t="s">
        <v>1368</v>
      </c>
      <c r="G19" s="135" t="s">
        <v>1375</v>
      </c>
      <c r="H19" s="135" t="s">
        <v>1370</v>
      </c>
      <c r="I19" s="136">
        <v>62.81</v>
      </c>
      <c r="J19" s="106"/>
      <c r="K19" t="str">
        <f>IF(A19&gt;0,VLOOKUP(A19,טבלאות!$J:$K,2,0),"")</f>
        <v>אשראי מיכה</v>
      </c>
      <c r="L19" s="50" t="str">
        <f>IF(ISERROR(VLOOKUP(B19,טבלאות!$G:$H,2,0)),"",VLOOKUP(B19,טבלאות!$G:$H,2,0))</f>
        <v>בריאות</v>
      </c>
      <c r="M19" s="51">
        <f t="shared" si="0"/>
        <v>62.81</v>
      </c>
    </row>
    <row r="20" spans="1:13" hidden="1">
      <c r="A20" s="135" t="s">
        <v>1355</v>
      </c>
      <c r="B20" s="135" t="s">
        <v>906</v>
      </c>
      <c r="C20" s="135" t="s">
        <v>1387</v>
      </c>
      <c r="D20" s="136">
        <v>43.5</v>
      </c>
      <c r="E20" s="135" t="s">
        <v>1367</v>
      </c>
      <c r="F20" s="135" t="s">
        <v>1368</v>
      </c>
      <c r="G20" s="135" t="s">
        <v>1369</v>
      </c>
      <c r="H20" s="135" t="s">
        <v>1370</v>
      </c>
      <c r="I20" s="136">
        <v>43.5</v>
      </c>
      <c r="J20" s="106"/>
      <c r="K20" t="str">
        <f>IF(A20&gt;0,VLOOKUP(A20,טבלאות!$J:$K,2,0),"")</f>
        <v>אשראי מיכה</v>
      </c>
      <c r="L20" s="50" t="str">
        <f>IF(ISERROR(VLOOKUP(B20,טבלאות!$G:$H,2,0)),"",VLOOKUP(B20,טבלאות!$G:$H,2,0))</f>
        <v>בית וגן</v>
      </c>
      <c r="M20" s="51">
        <f t="shared" si="0"/>
        <v>43.5</v>
      </c>
    </row>
    <row r="21" spans="1:13" hidden="1">
      <c r="A21" s="135" t="s">
        <v>1355</v>
      </c>
      <c r="B21" s="135" t="s">
        <v>1212</v>
      </c>
      <c r="C21" s="135" t="s">
        <v>1387</v>
      </c>
      <c r="D21" s="136">
        <v>128.22999999999999</v>
      </c>
      <c r="E21" s="135" t="s">
        <v>1367</v>
      </c>
      <c r="F21" s="135" t="s">
        <v>1368</v>
      </c>
      <c r="G21" s="135" t="s">
        <v>1375</v>
      </c>
      <c r="H21" s="135" t="s">
        <v>1370</v>
      </c>
      <c r="I21" s="136">
        <v>128.22999999999999</v>
      </c>
      <c r="J21" s="106"/>
      <c r="K21" t="str">
        <f>IF(A21&gt;0,VLOOKUP(A21,טבלאות!$J:$K,2,0),"")</f>
        <v>אשראי מיכה</v>
      </c>
      <c r="L21" s="50" t="str">
        <f>IF(ISERROR(VLOOKUP(B21,טבלאות!$G:$H,2,0)),"",VLOOKUP(B21,טבלאות!$G:$H,2,0))</f>
        <v>בריאות</v>
      </c>
      <c r="M21" s="51">
        <f t="shared" si="0"/>
        <v>128.22999999999999</v>
      </c>
    </row>
    <row r="22" spans="1:13" hidden="1">
      <c r="A22" s="135" t="s">
        <v>1355</v>
      </c>
      <c r="B22" s="135" t="s">
        <v>649</v>
      </c>
      <c r="C22" s="135" t="s">
        <v>1387</v>
      </c>
      <c r="D22" s="136">
        <v>72</v>
      </c>
      <c r="E22" s="135" t="s">
        <v>1367</v>
      </c>
      <c r="F22" s="135" t="s">
        <v>1368</v>
      </c>
      <c r="G22" s="135" t="s">
        <v>1369</v>
      </c>
      <c r="H22" s="135" t="s">
        <v>1370</v>
      </c>
      <c r="I22" s="136">
        <v>72</v>
      </c>
      <c r="J22" s="106"/>
      <c r="K22" t="str">
        <f>IF(A22&gt;0,VLOOKUP(A22,טבלאות!$J:$K,2,0),"")</f>
        <v>אשראי מיכה</v>
      </c>
      <c r="L22" s="50" t="str">
        <f>IF(ISERROR(VLOOKUP(B22,טבלאות!$G:$H,2,0)),"",VLOOKUP(B22,טבלאות!$G:$H,2,0))</f>
        <v>מזון ומשקאות</v>
      </c>
      <c r="M22" s="51">
        <f t="shared" si="0"/>
        <v>72</v>
      </c>
    </row>
    <row r="23" spans="1:13" hidden="1">
      <c r="A23" s="135" t="s">
        <v>1355</v>
      </c>
      <c r="B23" s="135" t="s">
        <v>966</v>
      </c>
      <c r="C23" s="135" t="s">
        <v>1387</v>
      </c>
      <c r="D23" s="136">
        <v>544.19000000000005</v>
      </c>
      <c r="E23" s="135" t="s">
        <v>1367</v>
      </c>
      <c r="F23" s="135" t="s">
        <v>1368</v>
      </c>
      <c r="G23" s="135" t="s">
        <v>1369</v>
      </c>
      <c r="H23" s="135" t="s">
        <v>1370</v>
      </c>
      <c r="I23" s="136">
        <v>544.19000000000005</v>
      </c>
      <c r="J23" s="106"/>
      <c r="K23" t="str">
        <f>IF(A23&gt;0,VLOOKUP(A23,טבלאות!$J:$K,2,0),"")</f>
        <v>אשראי מיכה</v>
      </c>
      <c r="L23" s="50" t="str">
        <f>IF(ISERROR(VLOOKUP(B23,טבלאות!$G:$H,2,0)),"",VLOOKUP(B23,טבלאות!$G:$H,2,0))</f>
        <v>מזון ומשקאות</v>
      </c>
      <c r="M23" s="51">
        <f t="shared" si="0"/>
        <v>544.19000000000005</v>
      </c>
    </row>
    <row r="24" spans="1:13" hidden="1">
      <c r="A24" s="135" t="s">
        <v>1355</v>
      </c>
      <c r="B24" s="135" t="s">
        <v>1129</v>
      </c>
      <c r="C24" s="135" t="s">
        <v>1388</v>
      </c>
      <c r="D24" s="136">
        <v>19.8</v>
      </c>
      <c r="E24" s="135" t="s">
        <v>1367</v>
      </c>
      <c r="F24" s="135" t="s">
        <v>1368</v>
      </c>
      <c r="G24" s="135" t="s">
        <v>1369</v>
      </c>
      <c r="H24" s="135" t="s">
        <v>1370</v>
      </c>
      <c r="I24" s="136">
        <v>19.8</v>
      </c>
      <c r="J24" s="106"/>
      <c r="K24" t="str">
        <f>IF(A24&gt;0,VLOOKUP(A24,טבלאות!$J:$K,2,0),"")</f>
        <v>אשראי מיכה</v>
      </c>
      <c r="L24" s="50" t="str">
        <f>IF(ISERROR(VLOOKUP(B24,טבלאות!$G:$H,2,0)),"",VLOOKUP(B24,טבלאות!$G:$H,2,0))</f>
        <v>בריאות</v>
      </c>
      <c r="M24" s="51">
        <f t="shared" si="0"/>
        <v>19.8</v>
      </c>
    </row>
    <row r="25" spans="1:13" hidden="1">
      <c r="A25" s="135" t="s">
        <v>1355</v>
      </c>
      <c r="B25" s="135" t="s">
        <v>940</v>
      </c>
      <c r="C25" s="135" t="s">
        <v>1389</v>
      </c>
      <c r="D25" s="136">
        <v>150</v>
      </c>
      <c r="E25" s="135" t="s">
        <v>1367</v>
      </c>
      <c r="F25" s="135" t="s">
        <v>1372</v>
      </c>
      <c r="G25" s="135" t="s">
        <v>1390</v>
      </c>
      <c r="H25" s="135" t="s">
        <v>1370</v>
      </c>
      <c r="I25" s="136">
        <v>150</v>
      </c>
      <c r="J25" s="106"/>
      <c r="K25" t="str">
        <f>IF(A25&gt;0,VLOOKUP(A25,טבלאות!$J:$K,2,0),"")</f>
        <v>אשראי מיכה</v>
      </c>
      <c r="L25" s="50" t="str">
        <f>IF(ISERROR(VLOOKUP(B25,טבלאות!$G:$H,2,0)),"",VLOOKUP(B25,טבלאות!$G:$H,2,0))</f>
        <v>מתנות ומזכרות</v>
      </c>
      <c r="M25" s="51">
        <f t="shared" si="0"/>
        <v>150</v>
      </c>
    </row>
    <row r="26" spans="1:13" hidden="1">
      <c r="A26" s="135" t="s">
        <v>1355</v>
      </c>
      <c r="B26" s="135" t="s">
        <v>1129</v>
      </c>
      <c r="C26" s="135" t="s">
        <v>1389</v>
      </c>
      <c r="D26" s="136">
        <v>61.7</v>
      </c>
      <c r="E26" s="135" t="s">
        <v>1367</v>
      </c>
      <c r="F26" s="135" t="s">
        <v>1368</v>
      </c>
      <c r="G26" s="135" t="s">
        <v>1369</v>
      </c>
      <c r="H26" s="135" t="s">
        <v>1370</v>
      </c>
      <c r="I26" s="136">
        <v>61.7</v>
      </c>
      <c r="J26" s="106"/>
      <c r="K26" t="str">
        <f>IF(A26&gt;0,VLOOKUP(A26,טבלאות!$J:$K,2,0),"")</f>
        <v>אשראי מיכה</v>
      </c>
      <c r="L26" s="50" t="str">
        <f>IF(ISERROR(VLOOKUP(B26,טבלאות!$G:$H,2,0)),"",VLOOKUP(B26,טבלאות!$G:$H,2,0))</f>
        <v>בריאות</v>
      </c>
      <c r="M26" s="51">
        <f t="shared" si="0"/>
        <v>61.7</v>
      </c>
    </row>
    <row r="27" spans="1:13" hidden="1">
      <c r="A27" s="135" t="s">
        <v>764</v>
      </c>
      <c r="B27" s="135" t="s">
        <v>741</v>
      </c>
      <c r="C27" s="135" t="s">
        <v>1389</v>
      </c>
      <c r="D27" s="136">
        <v>163.57</v>
      </c>
      <c r="E27" s="135" t="s">
        <v>1367</v>
      </c>
      <c r="F27" s="135" t="s">
        <v>1368</v>
      </c>
      <c r="G27" s="135" t="s">
        <v>1375</v>
      </c>
      <c r="H27" s="135" t="s">
        <v>1370</v>
      </c>
      <c r="I27" s="136">
        <v>163.57</v>
      </c>
      <c r="J27" s="105"/>
      <c r="K27" t="str">
        <f>IF(A27&gt;0,VLOOKUP(A27,טבלאות!$J:$K,2,0),"")</f>
        <v>אשראי אורנה</v>
      </c>
      <c r="L27" s="50" t="str">
        <f>IF(ISERROR(VLOOKUP(B27,טבלאות!$G:$H,2,0)),"",VLOOKUP(B27,טבלאות!$G:$H,2,0))</f>
        <v>מוצרי חשמל ותקשורת</v>
      </c>
      <c r="M27" s="51">
        <f t="shared" si="0"/>
        <v>163.57</v>
      </c>
    </row>
    <row r="28" spans="1:13" hidden="1">
      <c r="A28" s="135" t="s">
        <v>1355</v>
      </c>
      <c r="B28" s="135" t="s">
        <v>886</v>
      </c>
      <c r="C28" s="135" t="s">
        <v>1391</v>
      </c>
      <c r="D28" s="136">
        <v>42.77</v>
      </c>
      <c r="E28" s="135" t="s">
        <v>1367</v>
      </c>
      <c r="F28" s="135" t="s">
        <v>1368</v>
      </c>
      <c r="G28" s="135" t="s">
        <v>1369</v>
      </c>
      <c r="H28" s="135" t="s">
        <v>1370</v>
      </c>
      <c r="I28" s="136">
        <v>42.77</v>
      </c>
      <c r="J28" s="106"/>
      <c r="K28" t="str">
        <f>IF(A28&gt;0,VLOOKUP(A28,טבלאות!$J:$K,2,0),"")</f>
        <v>אשראי מיכה</v>
      </c>
      <c r="L28" s="50" t="str">
        <f>IF(ISERROR(VLOOKUP(B28,טבלאות!$G:$H,2,0)),"",VLOOKUP(B28,טבלאות!$G:$H,2,0))</f>
        <v>מזון ומשקאות</v>
      </c>
      <c r="M28" s="51">
        <f t="shared" si="0"/>
        <v>42.77</v>
      </c>
    </row>
    <row r="29" spans="1:13" hidden="1">
      <c r="A29" s="135" t="s">
        <v>1355</v>
      </c>
      <c r="B29" s="135" t="s">
        <v>940</v>
      </c>
      <c r="C29" s="135" t="s">
        <v>1392</v>
      </c>
      <c r="D29" s="136">
        <v>120</v>
      </c>
      <c r="E29" s="135" t="s">
        <v>1367</v>
      </c>
      <c r="F29" s="135" t="s">
        <v>1372</v>
      </c>
      <c r="G29" s="135" t="s">
        <v>1393</v>
      </c>
      <c r="H29" s="135" t="s">
        <v>1370</v>
      </c>
      <c r="I29" s="136">
        <v>120</v>
      </c>
      <c r="J29" s="106"/>
      <c r="K29" t="str">
        <f>IF(A29&gt;0,VLOOKUP(A29,טבלאות!$J:$K,2,0),"")</f>
        <v>אשראי מיכה</v>
      </c>
      <c r="L29" s="50" t="str">
        <f>IF(ISERROR(VLOOKUP(B29,טבלאות!$G:$H,2,0)),"",VLOOKUP(B29,טבלאות!$G:$H,2,0))</f>
        <v>מתנות ומזכרות</v>
      </c>
      <c r="M29" s="51">
        <f t="shared" si="0"/>
        <v>120</v>
      </c>
    </row>
    <row r="30" spans="1:13" hidden="1">
      <c r="A30" s="135" t="s">
        <v>764</v>
      </c>
      <c r="B30" s="135" t="s">
        <v>246</v>
      </c>
      <c r="C30" s="135" t="s">
        <v>1392</v>
      </c>
      <c r="D30" s="136">
        <v>130</v>
      </c>
      <c r="E30" s="135" t="s">
        <v>1367</v>
      </c>
      <c r="F30" s="135" t="s">
        <v>1368</v>
      </c>
      <c r="G30" s="135" t="s">
        <v>1394</v>
      </c>
      <c r="H30" s="135" t="s">
        <v>1370</v>
      </c>
      <c r="I30" s="136">
        <v>130</v>
      </c>
      <c r="J30" s="106"/>
      <c r="K30" t="str">
        <f>IF(A30&gt;0,VLOOKUP(A30,טבלאות!$J:$K,2,0),"")</f>
        <v>אשראי אורנה</v>
      </c>
      <c r="L30" s="50" t="str">
        <f>IF(ISERROR(VLOOKUP(B30,טבלאות!$G:$H,2,0)),"",VLOOKUP(B30,טבלאות!$G:$H,2,0))</f>
        <v>חוגים</v>
      </c>
      <c r="M30" s="51">
        <f t="shared" si="0"/>
        <v>130</v>
      </c>
    </row>
    <row r="31" spans="1:13" hidden="1">
      <c r="A31" s="135" t="s">
        <v>1355</v>
      </c>
      <c r="B31" s="135" t="s">
        <v>1173</v>
      </c>
      <c r="C31" s="135" t="s">
        <v>1395</v>
      </c>
      <c r="D31" s="136">
        <v>66.52</v>
      </c>
      <c r="E31" s="135" t="s">
        <v>1367</v>
      </c>
      <c r="F31" s="135" t="s">
        <v>1372</v>
      </c>
      <c r="G31" s="135" t="s">
        <v>1396</v>
      </c>
      <c r="H31" s="135" t="s">
        <v>1370</v>
      </c>
      <c r="I31" s="136">
        <v>66.52</v>
      </c>
      <c r="J31" s="106"/>
      <c r="K31" t="str">
        <f>IF(A31&gt;0,VLOOKUP(A31,טבלאות!$J:$K,2,0),"")</f>
        <v>אשראי מיכה</v>
      </c>
      <c r="L31" s="50" t="str">
        <f>IF(ISERROR(VLOOKUP(B31,טבלאות!$G:$H,2,0)),"",VLOOKUP(B31,טבלאות!$G:$H,2,0))</f>
        <v>בית וגן</v>
      </c>
      <c r="M31" s="51">
        <f t="shared" si="0"/>
        <v>66.52</v>
      </c>
    </row>
    <row r="32" spans="1:13" hidden="1">
      <c r="A32" s="135" t="s">
        <v>1355</v>
      </c>
      <c r="B32" s="135" t="s">
        <v>649</v>
      </c>
      <c r="C32" s="135" t="s">
        <v>1397</v>
      </c>
      <c r="D32" s="136">
        <v>36</v>
      </c>
      <c r="E32" s="135" t="s">
        <v>1367</v>
      </c>
      <c r="F32" s="135" t="s">
        <v>1368</v>
      </c>
      <c r="G32" s="135" t="s">
        <v>1369</v>
      </c>
      <c r="H32" s="135" t="s">
        <v>1370</v>
      </c>
      <c r="I32" s="136">
        <v>36</v>
      </c>
      <c r="J32" s="106"/>
      <c r="K32" t="str">
        <f>IF(A32&gt;0,VLOOKUP(A32,טבלאות!$J:$K,2,0),"")</f>
        <v>אשראי מיכה</v>
      </c>
      <c r="L32" s="50" t="str">
        <f>IF(ISERROR(VLOOKUP(B32,טבלאות!$G:$H,2,0)),"",VLOOKUP(B32,טבלאות!$G:$H,2,0))</f>
        <v>מזון ומשקאות</v>
      </c>
      <c r="M32" s="51">
        <f t="shared" si="0"/>
        <v>36</v>
      </c>
    </row>
    <row r="33" spans="1:13" hidden="1">
      <c r="A33" s="135" t="s">
        <v>1355</v>
      </c>
      <c r="B33" s="135" t="s">
        <v>966</v>
      </c>
      <c r="C33" s="135" t="s">
        <v>1397</v>
      </c>
      <c r="D33" s="136">
        <v>998.86</v>
      </c>
      <c r="E33" s="135" t="s">
        <v>1367</v>
      </c>
      <c r="F33" s="135" t="s">
        <v>1368</v>
      </c>
      <c r="G33" s="135" t="s">
        <v>1369</v>
      </c>
      <c r="H33" s="135" t="s">
        <v>1370</v>
      </c>
      <c r="I33" s="136">
        <v>998.86</v>
      </c>
      <c r="J33" s="106"/>
      <c r="K33" t="str">
        <f>IF(A33&gt;0,VLOOKUP(A33,טבלאות!$J:$K,2,0),"")</f>
        <v>אשראי מיכה</v>
      </c>
      <c r="L33" s="50" t="str">
        <f>IF(ISERROR(VLOOKUP(B33,טבלאות!$G:$H,2,0)),"",VLOOKUP(B33,טבלאות!$G:$H,2,0))</f>
        <v>מזון ומשקאות</v>
      </c>
      <c r="M33" s="51">
        <f t="shared" si="0"/>
        <v>998.86</v>
      </c>
    </row>
    <row r="34" spans="1:13" hidden="1">
      <c r="A34" s="135" t="s">
        <v>764</v>
      </c>
      <c r="B34" s="135" t="s">
        <v>246</v>
      </c>
      <c r="C34" s="135" t="s">
        <v>1397</v>
      </c>
      <c r="D34" s="136">
        <v>260</v>
      </c>
      <c r="E34" s="135" t="s">
        <v>1367</v>
      </c>
      <c r="F34" s="135" t="s">
        <v>1368</v>
      </c>
      <c r="G34" s="135" t="s">
        <v>1386</v>
      </c>
      <c r="H34" s="135" t="s">
        <v>1370</v>
      </c>
      <c r="I34" s="136">
        <v>260</v>
      </c>
      <c r="J34" s="106"/>
      <c r="K34" t="str">
        <f>IF(A34&gt;0,VLOOKUP(A34,טבלאות!$J:$K,2,0),"")</f>
        <v>אשראי אורנה</v>
      </c>
      <c r="L34" s="50" t="str">
        <f>IF(ISERROR(VLOOKUP(B34,טבלאות!$G:$H,2,0)),"",VLOOKUP(B34,טבלאות!$G:$H,2,0))</f>
        <v>חוגים</v>
      </c>
      <c r="M34" s="51">
        <f t="shared" si="0"/>
        <v>260</v>
      </c>
    </row>
    <row r="35" spans="1:13" hidden="1">
      <c r="A35" s="135" t="s">
        <v>764</v>
      </c>
      <c r="B35" s="135" t="s">
        <v>66</v>
      </c>
      <c r="C35" s="135" t="s">
        <v>1397</v>
      </c>
      <c r="D35" s="136">
        <v>970.87</v>
      </c>
      <c r="E35" s="135" t="s">
        <v>1367</v>
      </c>
      <c r="F35" s="135" t="s">
        <v>1368</v>
      </c>
      <c r="G35" s="135" t="s">
        <v>1375</v>
      </c>
      <c r="H35" s="135" t="s">
        <v>1370</v>
      </c>
      <c r="I35" s="136">
        <v>970.87</v>
      </c>
      <c r="J35" s="106"/>
      <c r="K35" t="str">
        <f>IF(A35&gt;0,VLOOKUP(A35,טבלאות!$J:$K,2,0),"")</f>
        <v>אשראי אורנה</v>
      </c>
      <c r="L35" s="50" t="str">
        <f>IF(ISERROR(VLOOKUP(B35,טבלאות!$G:$H,2,0)),"",VLOOKUP(B35,טבלאות!$G:$H,2,0))</f>
        <v>מוצרי חשמל ותקשורת</v>
      </c>
      <c r="M35" s="51">
        <f t="shared" si="0"/>
        <v>970.87</v>
      </c>
    </row>
    <row r="36" spans="1:13" hidden="1">
      <c r="A36" s="135" t="s">
        <v>1355</v>
      </c>
      <c r="B36" s="135" t="s">
        <v>966</v>
      </c>
      <c r="C36" s="135" t="s">
        <v>1398</v>
      </c>
      <c r="D36" s="136">
        <v>65.39</v>
      </c>
      <c r="E36" s="135" t="s">
        <v>1367</v>
      </c>
      <c r="F36" s="135" t="s">
        <v>1368</v>
      </c>
      <c r="G36" s="135" t="s">
        <v>1369</v>
      </c>
      <c r="H36" s="135" t="s">
        <v>1370</v>
      </c>
      <c r="I36" s="136">
        <v>65.39</v>
      </c>
      <c r="J36" s="106"/>
      <c r="K36" t="str">
        <f>IF(A36&gt;0,VLOOKUP(A36,טבלאות!$J:$K,2,0),"")</f>
        <v>אשראי מיכה</v>
      </c>
      <c r="L36" s="50" t="str">
        <f>IF(ISERROR(VLOOKUP(B36,טבלאות!$G:$H,2,0)),"",VLOOKUP(B36,טבלאות!$G:$H,2,0))</f>
        <v>מזון ומשקאות</v>
      </c>
      <c r="M36" s="51">
        <f t="shared" si="0"/>
        <v>65.39</v>
      </c>
    </row>
    <row r="37" spans="1:13" hidden="1">
      <c r="A37" s="135" t="s">
        <v>764</v>
      </c>
      <c r="B37" s="135" t="s">
        <v>137</v>
      </c>
      <c r="C37" s="135" t="s">
        <v>1398</v>
      </c>
      <c r="D37" s="136">
        <v>214.84</v>
      </c>
      <c r="E37" s="135" t="s">
        <v>1367</v>
      </c>
      <c r="F37" s="135" t="s">
        <v>1368</v>
      </c>
      <c r="G37" s="135" t="s">
        <v>1369</v>
      </c>
      <c r="H37" s="135" t="s">
        <v>1370</v>
      </c>
      <c r="I37" s="136">
        <v>214.84</v>
      </c>
      <c r="J37" s="106"/>
      <c r="K37" t="str">
        <f>IF(A37&gt;0,VLOOKUP(A37,טבלאות!$J:$K,2,0),"")</f>
        <v>אשראי אורנה</v>
      </c>
      <c r="L37" s="50" t="str">
        <f>IF(ISERROR(VLOOKUP(B37,טבלאות!$G:$H,2,0)),"",VLOOKUP(B37,טבלאות!$G:$H,2,0))</f>
        <v>רכב ותחבורה</v>
      </c>
      <c r="M37" s="51">
        <f t="shared" si="0"/>
        <v>214.84</v>
      </c>
    </row>
    <row r="38" spans="1:13" hidden="1">
      <c r="A38" s="135" t="s">
        <v>1355</v>
      </c>
      <c r="B38" s="135" t="s">
        <v>1101</v>
      </c>
      <c r="C38" s="135" t="s">
        <v>1399</v>
      </c>
      <c r="D38" s="136">
        <v>42.08</v>
      </c>
      <c r="E38" s="135" t="s">
        <v>1367</v>
      </c>
      <c r="F38" s="135" t="s">
        <v>1368</v>
      </c>
      <c r="G38" s="135" t="s">
        <v>1369</v>
      </c>
      <c r="H38" s="135" t="s">
        <v>1370</v>
      </c>
      <c r="I38" s="136">
        <v>42.08</v>
      </c>
      <c r="J38" s="106"/>
      <c r="K38" t="str">
        <f>IF(A38&gt;0,VLOOKUP(A38,טבלאות!$J:$K,2,0),"")</f>
        <v>אשראי מיכה</v>
      </c>
      <c r="L38" s="50" t="str">
        <f>IF(ISERROR(VLOOKUP(B38,טבלאות!$G:$H,2,0)),"",VLOOKUP(B38,טבלאות!$G:$H,2,0))</f>
        <v>מזון ומשקאות</v>
      </c>
      <c r="M38" s="51">
        <f t="shared" si="0"/>
        <v>42.08</v>
      </c>
    </row>
    <row r="39" spans="1:13" hidden="1">
      <c r="A39" s="135" t="s">
        <v>764</v>
      </c>
      <c r="B39" s="135" t="s">
        <v>924</v>
      </c>
      <c r="C39" s="135" t="s">
        <v>1399</v>
      </c>
      <c r="D39" s="136">
        <v>350</v>
      </c>
      <c r="E39" s="135" t="s">
        <v>1367</v>
      </c>
      <c r="F39" s="135" t="s">
        <v>1368</v>
      </c>
      <c r="G39" s="135" t="s">
        <v>1369</v>
      </c>
      <c r="H39" s="135" t="s">
        <v>1370</v>
      </c>
      <c r="I39" s="136">
        <v>350</v>
      </c>
      <c r="J39" s="106"/>
      <c r="K39" t="str">
        <f>IF(A39&gt;0,VLOOKUP(A39,טבלאות!$J:$K,2,0),"")</f>
        <v>אשראי אורנה</v>
      </c>
      <c r="L39" s="50" t="str">
        <f>IF(ISERROR(VLOOKUP(B39,טבלאות!$G:$H,2,0)),"",VLOOKUP(B39,טבלאות!$G:$H,2,0))</f>
        <v>בית וגן</v>
      </c>
      <c r="M39" s="51">
        <f t="shared" si="0"/>
        <v>350</v>
      </c>
    </row>
    <row r="40" spans="1:13" hidden="1">
      <c r="A40" s="135" t="s">
        <v>1355</v>
      </c>
      <c r="B40" s="135" t="s">
        <v>638</v>
      </c>
      <c r="C40" s="135" t="s">
        <v>1400</v>
      </c>
      <c r="D40" s="136">
        <v>58.8</v>
      </c>
      <c r="E40" s="135" t="s">
        <v>1367</v>
      </c>
      <c r="F40" s="135" t="s">
        <v>1368</v>
      </c>
      <c r="G40" s="135" t="s">
        <v>1369</v>
      </c>
      <c r="H40" s="135" t="s">
        <v>1370</v>
      </c>
      <c r="I40" s="136">
        <v>58.8</v>
      </c>
      <c r="J40" s="106"/>
      <c r="K40" t="str">
        <f>IF(A40&gt;0,VLOOKUP(A40,טבלאות!$J:$K,2,0),"")</f>
        <v>אשראי מיכה</v>
      </c>
      <c r="L40" s="50" t="str">
        <f>IF(ISERROR(VLOOKUP(B40,טבלאות!$G:$H,2,0)),"",VLOOKUP(B40,טבלאות!$G:$H,2,0))</f>
        <v>מזון ומשקאות</v>
      </c>
      <c r="M40" s="51">
        <f t="shared" si="0"/>
        <v>58.8</v>
      </c>
    </row>
    <row r="41" spans="1:13" hidden="1">
      <c r="A41" s="135" t="s">
        <v>1355</v>
      </c>
      <c r="B41" s="135" t="s">
        <v>886</v>
      </c>
      <c r="C41" s="135" t="s">
        <v>1400</v>
      </c>
      <c r="D41" s="136">
        <v>46.33</v>
      </c>
      <c r="E41" s="135" t="s">
        <v>1367</v>
      </c>
      <c r="F41" s="135" t="s">
        <v>1368</v>
      </c>
      <c r="G41" s="135" t="s">
        <v>1369</v>
      </c>
      <c r="H41" s="135" t="s">
        <v>1370</v>
      </c>
      <c r="I41" s="136">
        <v>46.33</v>
      </c>
      <c r="J41" s="106"/>
      <c r="K41" t="str">
        <f>IF(A41&gt;0,VLOOKUP(A41,טבלאות!$J:$K,2,0),"")</f>
        <v>אשראי מיכה</v>
      </c>
      <c r="L41" s="50" t="str">
        <f>IF(ISERROR(VLOOKUP(B41,טבלאות!$G:$H,2,0)),"",VLOOKUP(B41,טבלאות!$G:$H,2,0))</f>
        <v>מזון ומשקאות</v>
      </c>
      <c r="M41" s="51">
        <f t="shared" si="0"/>
        <v>46.33</v>
      </c>
    </row>
    <row r="42" spans="1:13" hidden="1">
      <c r="A42" s="135" t="s">
        <v>1355</v>
      </c>
      <c r="B42" s="135" t="s">
        <v>518</v>
      </c>
      <c r="C42" s="135" t="s">
        <v>1401</v>
      </c>
      <c r="D42" s="136">
        <v>119.4</v>
      </c>
      <c r="E42" s="135" t="s">
        <v>1367</v>
      </c>
      <c r="F42" s="135" t="s">
        <v>1368</v>
      </c>
      <c r="G42" s="135" t="s">
        <v>1369</v>
      </c>
      <c r="H42" s="135" t="s">
        <v>1370</v>
      </c>
      <c r="I42" s="136">
        <v>119.4</v>
      </c>
      <c r="J42" s="106"/>
      <c r="K42" t="str">
        <f>IF(A42&gt;0,VLOOKUP(A42,טבלאות!$J:$K,2,0),"")</f>
        <v>אשראי מיכה</v>
      </c>
      <c r="L42" s="50" t="str">
        <f>IF(ISERROR(VLOOKUP(B42,טבלאות!$G:$H,2,0)),"",VLOOKUP(B42,טבלאות!$G:$H,2,0))</f>
        <v>מזון ומשקאות</v>
      </c>
      <c r="M42" s="51">
        <f t="shared" si="0"/>
        <v>119.4</v>
      </c>
    </row>
    <row r="43" spans="1:13" hidden="1">
      <c r="A43" s="135" t="s">
        <v>764</v>
      </c>
      <c r="B43" s="135" t="s">
        <v>133</v>
      </c>
      <c r="C43" s="135" t="s">
        <v>1402</v>
      </c>
      <c r="D43" s="136">
        <v>20.87</v>
      </c>
      <c r="E43" s="135" t="s">
        <v>1367</v>
      </c>
      <c r="F43" s="135" t="s">
        <v>1368</v>
      </c>
      <c r="G43" s="135" t="s">
        <v>1369</v>
      </c>
      <c r="H43" s="135" t="s">
        <v>1370</v>
      </c>
      <c r="I43" s="136">
        <v>20.87</v>
      </c>
      <c r="J43" s="106"/>
      <c r="K43" t="str">
        <f>IF(A43&gt;0,VLOOKUP(A43,טבלאות!$J:$K,2,0),"")</f>
        <v>אשראי אורנה</v>
      </c>
      <c r="L43" s="50" t="str">
        <f>IF(ISERROR(VLOOKUP(B43,טבלאות!$G:$H,2,0)),"",VLOOKUP(B43,טבלאות!$G:$H,2,0))</f>
        <v>בריאות</v>
      </c>
      <c r="M43" s="51">
        <f t="shared" si="0"/>
        <v>20.87</v>
      </c>
    </row>
    <row r="44" spans="1:13" hidden="1">
      <c r="A44" s="135" t="s">
        <v>1355</v>
      </c>
      <c r="B44" s="135" t="s">
        <v>649</v>
      </c>
      <c r="C44" s="135" t="s">
        <v>1403</v>
      </c>
      <c r="D44" s="136">
        <v>86</v>
      </c>
      <c r="E44" s="135" t="s">
        <v>1367</v>
      </c>
      <c r="F44" s="135" t="s">
        <v>1368</v>
      </c>
      <c r="G44" s="135" t="s">
        <v>1369</v>
      </c>
      <c r="H44" s="135" t="s">
        <v>1370</v>
      </c>
      <c r="I44" s="136">
        <v>86</v>
      </c>
      <c r="J44" s="106"/>
      <c r="K44" t="str">
        <f>IF(A44&gt;0,VLOOKUP(A44,טבלאות!$J:$K,2,0),"")</f>
        <v>אשראי מיכה</v>
      </c>
      <c r="L44" s="50" t="str">
        <f>IF(ISERROR(VLOOKUP(B44,טבלאות!$G:$H,2,0)),"",VLOOKUP(B44,טבלאות!$G:$H,2,0))</f>
        <v>מזון ומשקאות</v>
      </c>
      <c r="M44" s="51">
        <f t="shared" si="0"/>
        <v>86</v>
      </c>
    </row>
    <row r="45" spans="1:13" hidden="1">
      <c r="A45" s="135" t="s">
        <v>1355</v>
      </c>
      <c r="B45" s="135" t="s">
        <v>1404</v>
      </c>
      <c r="C45" s="135" t="s">
        <v>1403</v>
      </c>
      <c r="D45" s="136">
        <v>15</v>
      </c>
      <c r="E45" s="135" t="s">
        <v>1367</v>
      </c>
      <c r="F45" s="135" t="s">
        <v>1368</v>
      </c>
      <c r="G45" s="135" t="s">
        <v>1369</v>
      </c>
      <c r="H45" s="135" t="s">
        <v>1370</v>
      </c>
      <c r="I45" s="136">
        <v>15</v>
      </c>
      <c r="J45" s="106"/>
      <c r="K45" t="str">
        <f>IF(A45&gt;0,VLOOKUP(A45,טבלאות!$J:$K,2,0),"")</f>
        <v>אשראי מיכה</v>
      </c>
      <c r="L45" s="50" t="str">
        <f>IF(ISERROR(VLOOKUP(B45,טבלאות!$G:$H,2,0)),"",VLOOKUP(B45,טבלאות!$G:$H,2,0))</f>
        <v>רכב ותחבורה</v>
      </c>
      <c r="M45" s="51">
        <f t="shared" si="0"/>
        <v>15</v>
      </c>
    </row>
    <row r="46" spans="1:13" hidden="1">
      <c r="A46" s="135" t="s">
        <v>1355</v>
      </c>
      <c r="B46" s="135" t="s">
        <v>966</v>
      </c>
      <c r="C46" s="135" t="s">
        <v>1403</v>
      </c>
      <c r="D46" s="136">
        <v>592.84</v>
      </c>
      <c r="E46" s="135" t="s">
        <v>1367</v>
      </c>
      <c r="F46" s="135" t="s">
        <v>1368</v>
      </c>
      <c r="G46" s="135" t="s">
        <v>1369</v>
      </c>
      <c r="H46" s="135" t="s">
        <v>1370</v>
      </c>
      <c r="I46" s="136">
        <v>592.84</v>
      </c>
      <c r="J46" s="105"/>
      <c r="K46" t="str">
        <f>IF(A46&gt;0,VLOOKUP(A46,טבלאות!$J:$K,2,0),"")</f>
        <v>אשראי מיכה</v>
      </c>
      <c r="L46" s="50" t="str">
        <f>IF(ISERROR(VLOOKUP(B46,טבלאות!$G:$H,2,0)),"",VLOOKUP(B46,טבלאות!$G:$H,2,0))</f>
        <v>מזון ומשקאות</v>
      </c>
      <c r="M46" s="51">
        <f t="shared" si="0"/>
        <v>592.84</v>
      </c>
    </row>
    <row r="47" spans="1:13" hidden="1">
      <c r="A47" s="135" t="s">
        <v>1355</v>
      </c>
      <c r="B47" s="135" t="s">
        <v>886</v>
      </c>
      <c r="C47" s="135" t="s">
        <v>1403</v>
      </c>
      <c r="D47" s="136">
        <v>34.799999999999997</v>
      </c>
      <c r="E47" s="135" t="s">
        <v>1367</v>
      </c>
      <c r="F47" s="135" t="s">
        <v>1368</v>
      </c>
      <c r="G47" s="135" t="s">
        <v>1369</v>
      </c>
      <c r="H47" s="135" t="s">
        <v>1370</v>
      </c>
      <c r="I47" s="136">
        <v>34.799999999999997</v>
      </c>
      <c r="J47" s="105"/>
      <c r="K47" t="str">
        <f>IF(A47&gt;0,VLOOKUP(A47,טבלאות!$J:$K,2,0),"")</f>
        <v>אשראי מיכה</v>
      </c>
      <c r="L47" s="50" t="str">
        <f>IF(ISERROR(VLOOKUP(B47,טבלאות!$G:$H,2,0)),"",VLOOKUP(B47,טבלאות!$G:$H,2,0))</f>
        <v>מזון ומשקאות</v>
      </c>
      <c r="M47" s="51">
        <f t="shared" si="0"/>
        <v>34.799999999999997</v>
      </c>
    </row>
    <row r="48" spans="1:13" hidden="1">
      <c r="A48" s="135" t="s">
        <v>764</v>
      </c>
      <c r="B48" s="135" t="s">
        <v>246</v>
      </c>
      <c r="C48" s="135" t="s">
        <v>1403</v>
      </c>
      <c r="D48" s="136">
        <v>260</v>
      </c>
      <c r="E48" s="135" t="s">
        <v>1367</v>
      </c>
      <c r="F48" s="135" t="s">
        <v>1368</v>
      </c>
      <c r="G48" s="135" t="s">
        <v>1405</v>
      </c>
      <c r="H48" s="135" t="s">
        <v>1370</v>
      </c>
      <c r="I48" s="136">
        <v>260</v>
      </c>
      <c r="J48" s="105"/>
      <c r="K48" t="str">
        <f>IF(A48&gt;0,VLOOKUP(A48,טבלאות!$J:$K,2,0),"")</f>
        <v>אשראי אורנה</v>
      </c>
      <c r="L48" s="50" t="str">
        <f>IF(ISERROR(VLOOKUP(B48,טבלאות!$G:$H,2,0)),"",VLOOKUP(B48,טבלאות!$G:$H,2,0))</f>
        <v>חוגים</v>
      </c>
      <c r="M48" s="51">
        <f t="shared" si="0"/>
        <v>260</v>
      </c>
    </row>
    <row r="49" spans="1:13" hidden="1">
      <c r="A49" s="135" t="s">
        <v>764</v>
      </c>
      <c r="B49" s="135" t="s">
        <v>137</v>
      </c>
      <c r="C49" s="135" t="s">
        <v>1406</v>
      </c>
      <c r="D49" s="136">
        <v>173.03</v>
      </c>
      <c r="E49" s="135" t="s">
        <v>1367</v>
      </c>
      <c r="F49" s="135" t="s">
        <v>1368</v>
      </c>
      <c r="G49" s="135" t="s">
        <v>1369</v>
      </c>
      <c r="H49" s="135" t="s">
        <v>1370</v>
      </c>
      <c r="I49" s="136">
        <v>173.03</v>
      </c>
      <c r="J49" s="105"/>
      <c r="K49" t="str">
        <f>IF(A49&gt;0,VLOOKUP(A49,טבלאות!$J:$K,2,0),"")</f>
        <v>אשראי אורנה</v>
      </c>
      <c r="L49" s="50" t="str">
        <f>IF(ISERROR(VLOOKUP(B49,טבלאות!$G:$H,2,0)),"",VLOOKUP(B49,טבלאות!$G:$H,2,0))</f>
        <v>רכב ותחבורה</v>
      </c>
      <c r="M49" s="51">
        <f t="shared" si="0"/>
        <v>173.03</v>
      </c>
    </row>
    <row r="50" spans="1:13" hidden="1">
      <c r="A50" s="135" t="s">
        <v>764</v>
      </c>
      <c r="B50" s="135" t="s">
        <v>1086</v>
      </c>
      <c r="C50" s="135" t="s">
        <v>1406</v>
      </c>
      <c r="D50" s="136">
        <v>200</v>
      </c>
      <c r="E50" s="135" t="s">
        <v>1367</v>
      </c>
      <c r="F50" s="135" t="s">
        <v>1368</v>
      </c>
      <c r="G50" s="135" t="s">
        <v>1369</v>
      </c>
      <c r="H50" s="135" t="s">
        <v>1370</v>
      </c>
      <c r="I50" s="136">
        <v>200</v>
      </c>
      <c r="J50" s="105"/>
      <c r="K50" t="str">
        <f>IF(A50&gt;0,VLOOKUP(A50,טבלאות!$J:$K,2,0),"")</f>
        <v>אשראי אורנה</v>
      </c>
      <c r="L50" s="50" t="str">
        <f>IF(ISERROR(VLOOKUP(B50,טבלאות!$G:$H,2,0)),"",VLOOKUP(B50,טבלאות!$G:$H,2,0))</f>
        <v>נופש</v>
      </c>
      <c r="M50" s="51">
        <f t="shared" si="0"/>
        <v>200</v>
      </c>
    </row>
    <row r="51" spans="1:13" hidden="1">
      <c r="A51" s="135" t="s">
        <v>1355</v>
      </c>
      <c r="B51" s="135" t="s">
        <v>76</v>
      </c>
      <c r="C51" s="135" t="s">
        <v>1407</v>
      </c>
      <c r="D51" s="136">
        <v>120</v>
      </c>
      <c r="E51" s="135" t="s">
        <v>1367</v>
      </c>
      <c r="F51" s="135" t="s">
        <v>1368</v>
      </c>
      <c r="G51" s="135" t="s">
        <v>1375</v>
      </c>
      <c r="H51" s="135" t="s">
        <v>1370</v>
      </c>
      <c r="I51" s="136">
        <v>120</v>
      </c>
      <c r="J51" s="105"/>
      <c r="K51" t="str">
        <f>IF(A51&gt;0,VLOOKUP(A51,טבלאות!$J:$K,2,0),"")</f>
        <v>אשראי מיכה</v>
      </c>
      <c r="L51" s="50" t="str">
        <f>IF(ISERROR(VLOOKUP(B51,טבלאות!$G:$H,2,0)),"",VLOOKUP(B51,טבלאות!$G:$H,2,0))</f>
        <v>בריאות</v>
      </c>
      <c r="M51" s="51">
        <f t="shared" ref="M51:M66" si="1">IF(OR(L51="",L51="?"),"",IF(L51&gt;0,I51,""))</f>
        <v>120</v>
      </c>
    </row>
    <row r="52" spans="1:13" hidden="1">
      <c r="A52" s="135" t="s">
        <v>1355</v>
      </c>
      <c r="B52" s="135" t="s">
        <v>638</v>
      </c>
      <c r="C52" s="135" t="s">
        <v>1408</v>
      </c>
      <c r="D52" s="136">
        <v>112.9</v>
      </c>
      <c r="E52" s="135" t="s">
        <v>1367</v>
      </c>
      <c r="F52" s="135" t="s">
        <v>1368</v>
      </c>
      <c r="G52" s="135" t="s">
        <v>1369</v>
      </c>
      <c r="H52" s="135" t="s">
        <v>1370</v>
      </c>
      <c r="I52" s="136">
        <v>112.9</v>
      </c>
      <c r="J52" s="105"/>
      <c r="K52" t="str">
        <f>IF(A52&gt;0,VLOOKUP(A52,טבלאות!$J:$K,2,0),"")</f>
        <v>אשראי מיכה</v>
      </c>
      <c r="L52" s="50" t="str">
        <f>IF(ISERROR(VLOOKUP(B52,טבלאות!$G:$H,2,0)),"",VLOOKUP(B52,טבלאות!$G:$H,2,0))</f>
        <v>מזון ומשקאות</v>
      </c>
      <c r="M52" s="51">
        <f t="shared" si="1"/>
        <v>112.9</v>
      </c>
    </row>
    <row r="53" spans="1:13" hidden="1">
      <c r="A53" s="135" t="s">
        <v>1355</v>
      </c>
      <c r="B53" s="135" t="s">
        <v>886</v>
      </c>
      <c r="C53" s="135" t="s">
        <v>1408</v>
      </c>
      <c r="D53" s="136">
        <v>120.1</v>
      </c>
      <c r="E53" s="135" t="s">
        <v>1367</v>
      </c>
      <c r="F53" s="135" t="s">
        <v>1368</v>
      </c>
      <c r="G53" s="135" t="s">
        <v>1369</v>
      </c>
      <c r="H53" s="135" t="s">
        <v>1370</v>
      </c>
      <c r="I53" s="136">
        <v>120.1</v>
      </c>
      <c r="J53" s="105"/>
      <c r="K53" t="str">
        <f>IF(A53&gt;0,VLOOKUP(A53,טבלאות!$J:$K,2,0),"")</f>
        <v>אשראי מיכה</v>
      </c>
      <c r="L53" s="50" t="str">
        <f>IF(ISERROR(VLOOKUP(B53,טבלאות!$G:$H,2,0)),"",VLOOKUP(B53,טבלאות!$G:$H,2,0))</f>
        <v>מזון ומשקאות</v>
      </c>
      <c r="M53" s="51">
        <f t="shared" si="1"/>
        <v>120.1</v>
      </c>
    </row>
    <row r="54" spans="1:13" hidden="1">
      <c r="A54" s="135" t="s">
        <v>1355</v>
      </c>
      <c r="B54" s="135" t="s">
        <v>518</v>
      </c>
      <c r="C54" s="135" t="s">
        <v>1409</v>
      </c>
      <c r="D54" s="136">
        <v>199.59</v>
      </c>
      <c r="E54" s="135" t="s">
        <v>1367</v>
      </c>
      <c r="F54" s="135" t="s">
        <v>1368</v>
      </c>
      <c r="G54" s="135" t="s">
        <v>1369</v>
      </c>
      <c r="H54" s="135" t="s">
        <v>1370</v>
      </c>
      <c r="I54" s="136">
        <v>199.59</v>
      </c>
      <c r="J54" s="105"/>
      <c r="K54" t="str">
        <f>IF(A54&gt;0,VLOOKUP(A54,טבלאות!$J:$K,2,0),"")</f>
        <v>אשראי מיכה</v>
      </c>
      <c r="L54" s="50" t="str">
        <f>IF(ISERROR(VLOOKUP(B54,טבלאות!$G:$H,2,0)),"",VLOOKUP(B54,טבלאות!$G:$H,2,0))</f>
        <v>מזון ומשקאות</v>
      </c>
      <c r="M54" s="51">
        <f t="shared" si="1"/>
        <v>199.59</v>
      </c>
    </row>
    <row r="55" spans="1:13" hidden="1">
      <c r="A55" s="135" t="s">
        <v>1355</v>
      </c>
      <c r="B55" s="135" t="s">
        <v>649</v>
      </c>
      <c r="C55" s="135" t="s">
        <v>1410</v>
      </c>
      <c r="D55" s="136">
        <v>72</v>
      </c>
      <c r="E55" s="135" t="s">
        <v>1367</v>
      </c>
      <c r="F55" s="135" t="s">
        <v>1368</v>
      </c>
      <c r="G55" s="135" t="s">
        <v>1369</v>
      </c>
      <c r="H55" s="135" t="s">
        <v>1370</v>
      </c>
      <c r="I55" s="136">
        <v>72</v>
      </c>
      <c r="J55" s="105"/>
      <c r="K55" t="str">
        <f>IF(A55&gt;0,VLOOKUP(A55,טבלאות!$J:$K,2,0),"")</f>
        <v>אשראי מיכה</v>
      </c>
      <c r="L55" s="50" t="str">
        <f>IF(ISERROR(VLOOKUP(B55,טבלאות!$G:$H,2,0)),"",VLOOKUP(B55,טבלאות!$G:$H,2,0))</f>
        <v>מזון ומשקאות</v>
      </c>
      <c r="M55" s="51">
        <f t="shared" si="1"/>
        <v>72</v>
      </c>
    </row>
    <row r="56" spans="1:13" hidden="1">
      <c r="A56" s="135" t="s">
        <v>1355</v>
      </c>
      <c r="B56" s="135" t="s">
        <v>966</v>
      </c>
      <c r="C56" s="135" t="s">
        <v>1410</v>
      </c>
      <c r="D56" s="136">
        <v>573.91</v>
      </c>
      <c r="E56" s="135" t="s">
        <v>1367</v>
      </c>
      <c r="F56" s="135" t="s">
        <v>1368</v>
      </c>
      <c r="G56" s="135" t="s">
        <v>1369</v>
      </c>
      <c r="H56" s="135" t="s">
        <v>1370</v>
      </c>
      <c r="I56" s="136">
        <v>573.91</v>
      </c>
      <c r="J56" s="105"/>
      <c r="K56" t="str">
        <f>IF(A56&gt;0,VLOOKUP(A56,טבלאות!$J:$K,2,0),"")</f>
        <v>אשראי מיכה</v>
      </c>
      <c r="L56" s="50" t="str">
        <f>IF(ISERROR(VLOOKUP(B56,טבלאות!$G:$H,2,0)),"",VLOOKUP(B56,טבלאות!$G:$H,2,0))</f>
        <v>מזון ומשקאות</v>
      </c>
      <c r="M56" s="51">
        <f t="shared" si="1"/>
        <v>573.91</v>
      </c>
    </row>
    <row r="57" spans="1:13" hidden="1">
      <c r="A57" s="135" t="s">
        <v>1355</v>
      </c>
      <c r="B57" s="135" t="s">
        <v>368</v>
      </c>
      <c r="C57" s="135" t="s">
        <v>1410</v>
      </c>
      <c r="D57" s="136">
        <v>59.9</v>
      </c>
      <c r="E57" s="135" t="s">
        <v>1367</v>
      </c>
      <c r="F57" s="135" t="s">
        <v>1368</v>
      </c>
      <c r="G57" s="135" t="s">
        <v>1369</v>
      </c>
      <c r="H57" s="135" t="s">
        <v>1370</v>
      </c>
      <c r="I57" s="136">
        <v>59.9</v>
      </c>
      <c r="J57" s="105"/>
      <c r="K57" t="str">
        <f>IF(A57&gt;0,VLOOKUP(A57,טבלאות!$J:$K,2,0),"")</f>
        <v>אשראי מיכה</v>
      </c>
      <c r="L57" s="50" t="str">
        <f>IF(ISERROR(VLOOKUP(B57,טבלאות!$G:$H,2,0)),"",VLOOKUP(B57,טבלאות!$G:$H,2,0))</f>
        <v>בית וגן</v>
      </c>
      <c r="M57" s="51">
        <f t="shared" si="1"/>
        <v>59.9</v>
      </c>
    </row>
    <row r="58" spans="1:13" hidden="1">
      <c r="A58" s="135" t="s">
        <v>1355</v>
      </c>
      <c r="B58" s="135" t="s">
        <v>581</v>
      </c>
      <c r="C58" s="135" t="s">
        <v>1411</v>
      </c>
      <c r="D58" s="136">
        <v>50</v>
      </c>
      <c r="E58" s="135" t="s">
        <v>1367</v>
      </c>
      <c r="F58" s="135" t="s">
        <v>1368</v>
      </c>
      <c r="G58" s="135" t="s">
        <v>1412</v>
      </c>
      <c r="H58" s="135" t="s">
        <v>1370</v>
      </c>
      <c r="I58" s="136">
        <v>50</v>
      </c>
      <c r="J58" s="105"/>
      <c r="K58" t="str">
        <f>IF(A58&gt;0,VLOOKUP(A58,טבלאות!$J:$K,2,0),"")</f>
        <v>אשראי מיכה</v>
      </c>
      <c r="L58" s="50" t="str">
        <f>IF(ISERROR(VLOOKUP(B58,טבלאות!$G:$H,2,0)),"",VLOOKUP(B58,טבלאות!$G:$H,2,0))</f>
        <v>חוגים</v>
      </c>
      <c r="M58" s="51">
        <f t="shared" si="1"/>
        <v>50</v>
      </c>
    </row>
    <row r="59" spans="1:13" hidden="1">
      <c r="A59" s="135" t="s">
        <v>1355</v>
      </c>
      <c r="B59" s="135" t="s">
        <v>638</v>
      </c>
      <c r="C59" s="135" t="s">
        <v>1411</v>
      </c>
      <c r="D59" s="136">
        <v>47.14</v>
      </c>
      <c r="E59" s="135" t="s">
        <v>1367</v>
      </c>
      <c r="F59" s="135" t="s">
        <v>1368</v>
      </c>
      <c r="G59" s="135" t="s">
        <v>1369</v>
      </c>
      <c r="H59" s="135" t="s">
        <v>1370</v>
      </c>
      <c r="I59" s="136">
        <v>47.14</v>
      </c>
      <c r="J59" s="105"/>
      <c r="K59" t="str">
        <f>IF(A59&gt;0,VLOOKUP(A59,טבלאות!$J:$K,2,0),"")</f>
        <v>אשראי מיכה</v>
      </c>
      <c r="L59" s="50" t="str">
        <f>IF(ISERROR(VLOOKUP(B59,טבלאות!$G:$H,2,0)),"",VLOOKUP(B59,טבלאות!$G:$H,2,0))</f>
        <v>מזון ומשקאות</v>
      </c>
      <c r="M59" s="51">
        <f t="shared" ref="M59:M65" si="2">IF(OR(L59="",L59="?"),"",IF(L59&gt;0,I59,""))</f>
        <v>47.14</v>
      </c>
    </row>
    <row r="60" spans="1:13" hidden="1">
      <c r="A60" s="135" t="s">
        <v>764</v>
      </c>
      <c r="B60" s="135" t="s">
        <v>493</v>
      </c>
      <c r="C60" s="135" t="s">
        <v>1413</v>
      </c>
      <c r="D60" s="136">
        <v>68.569999999999993</v>
      </c>
      <c r="E60" s="135" t="s">
        <v>1367</v>
      </c>
      <c r="F60" s="135" t="s">
        <v>1368</v>
      </c>
      <c r="G60" s="135" t="s">
        <v>1375</v>
      </c>
      <c r="H60" s="135" t="s">
        <v>1370</v>
      </c>
      <c r="I60" s="136">
        <v>68.569999999999993</v>
      </c>
      <c r="J60" s="105"/>
      <c r="K60" t="str">
        <f>IF(A60&gt;0,VLOOKUP(A60,טבלאות!$J:$K,2,0),"")</f>
        <v>אשראי אורנה</v>
      </c>
      <c r="L60" s="50" t="str">
        <f>IF(ISERROR(VLOOKUP(B60,טבלאות!$G:$H,2,0)),"",VLOOKUP(B60,טבלאות!$G:$H,2,0))</f>
        <v>בית וגן</v>
      </c>
      <c r="M60" s="51">
        <f t="shared" si="2"/>
        <v>68.569999999999993</v>
      </c>
    </row>
    <row r="61" spans="1:13" hidden="1">
      <c r="A61" s="135" t="s">
        <v>764</v>
      </c>
      <c r="B61" s="135" t="s">
        <v>516</v>
      </c>
      <c r="C61" s="135" t="s">
        <v>1413</v>
      </c>
      <c r="D61" s="136">
        <v>30</v>
      </c>
      <c r="E61" s="135" t="s">
        <v>1367</v>
      </c>
      <c r="F61" s="135" t="s">
        <v>1368</v>
      </c>
      <c r="G61" s="135" t="s">
        <v>1375</v>
      </c>
      <c r="H61" s="135" t="s">
        <v>1370</v>
      </c>
      <c r="I61" s="136">
        <v>30</v>
      </c>
      <c r="J61" s="105"/>
      <c r="K61" t="str">
        <f>IF(A61&gt;0,VLOOKUP(A61,טבלאות!$J:$K,2,0),"")</f>
        <v>אשראי אורנה</v>
      </c>
      <c r="L61" s="50" t="str">
        <f>IF(ISERROR(VLOOKUP(B61,טבלאות!$G:$H,2,0)),"",VLOOKUP(B61,טבלאות!$G:$H,2,0))</f>
        <v>שונות</v>
      </c>
      <c r="M61" s="51">
        <f t="shared" si="2"/>
        <v>30</v>
      </c>
    </row>
    <row r="62" spans="1:13" hidden="1">
      <c r="A62" s="135" t="s">
        <v>1355</v>
      </c>
      <c r="B62" s="135" t="s">
        <v>1241</v>
      </c>
      <c r="C62" s="135" t="s">
        <v>1414</v>
      </c>
      <c r="D62" s="136">
        <v>-37</v>
      </c>
      <c r="E62" s="135" t="s">
        <v>1367</v>
      </c>
      <c r="F62" s="135" t="s">
        <v>1415</v>
      </c>
      <c r="G62" s="135" t="s">
        <v>1369</v>
      </c>
      <c r="H62" s="135" t="s">
        <v>1370</v>
      </c>
      <c r="I62" s="136">
        <v>-37</v>
      </c>
      <c r="J62" s="105"/>
      <c r="K62" t="str">
        <f>IF(A62&gt;0,VLOOKUP(A62,טבלאות!$J:$K,2,0),"")</f>
        <v>אשראי מיכה</v>
      </c>
      <c r="L62" s="50" t="str">
        <f>IF(ISERROR(VLOOKUP(B62,טבלאות!$G:$H,2,0)),"",VLOOKUP(B62,טבלאות!$G:$H,2,0))</f>
        <v>מוצרי חשמל ותקשורת</v>
      </c>
      <c r="M62" s="51">
        <f t="shared" si="2"/>
        <v>-37</v>
      </c>
    </row>
    <row r="63" spans="1:13" hidden="1">
      <c r="A63" s="135" t="s">
        <v>1355</v>
      </c>
      <c r="B63" s="135" t="s">
        <v>927</v>
      </c>
      <c r="C63" s="135" t="s">
        <v>1416</v>
      </c>
      <c r="D63" s="136">
        <v>55.35</v>
      </c>
      <c r="E63" s="135" t="s">
        <v>1367</v>
      </c>
      <c r="F63" s="135" t="s">
        <v>1372</v>
      </c>
      <c r="G63" s="135" t="s">
        <v>1417</v>
      </c>
      <c r="H63" s="135" t="s">
        <v>1370</v>
      </c>
      <c r="I63" s="136">
        <v>55.35</v>
      </c>
      <c r="J63" s="105"/>
      <c r="K63" t="str">
        <f>IF(A63&gt;0,VLOOKUP(A63,טבלאות!$J:$K,2,0),"")</f>
        <v>אשראי מיכה</v>
      </c>
      <c r="L63" s="50" t="str">
        <f>IF(ISERROR(VLOOKUP(B63,טבלאות!$G:$H,2,0)),"",VLOOKUP(B63,טבלאות!$G:$H,2,0))</f>
        <v>מוצרי חשמל ותקשורת</v>
      </c>
      <c r="M63" s="51">
        <f t="shared" si="2"/>
        <v>55.35</v>
      </c>
    </row>
    <row r="64" spans="1:13" hidden="1">
      <c r="A64" s="135" t="s">
        <v>764</v>
      </c>
      <c r="B64" s="135" t="s">
        <v>113</v>
      </c>
      <c r="C64" s="135" t="s">
        <v>1418</v>
      </c>
      <c r="D64" s="136">
        <v>2430</v>
      </c>
      <c r="E64" s="135" t="s">
        <v>1367</v>
      </c>
      <c r="F64" s="135" t="s">
        <v>1383</v>
      </c>
      <c r="G64" s="135" t="s">
        <v>1419</v>
      </c>
      <c r="H64" s="135" t="s">
        <v>1370</v>
      </c>
      <c r="I64" s="136">
        <v>270</v>
      </c>
      <c r="J64" s="105"/>
      <c r="K64" t="str">
        <f>IF(A64&gt;0,VLOOKUP(A64,טבלאות!$J:$K,2,0),"")</f>
        <v>אשראי אורנה</v>
      </c>
      <c r="L64" s="50" t="str">
        <f>IF(ISERROR(VLOOKUP(B64,טבלאות!$G:$H,2,0)),"",VLOOKUP(B64,טבלאות!$G:$H,2,0))</f>
        <v>חוגים</v>
      </c>
      <c r="M64" s="51">
        <f t="shared" si="2"/>
        <v>270</v>
      </c>
    </row>
    <row r="65" spans="1:13" hidden="1">
      <c r="A65" s="135" t="s">
        <v>764</v>
      </c>
      <c r="B65" s="135" t="s">
        <v>207</v>
      </c>
      <c r="C65" s="135" t="s">
        <v>1420</v>
      </c>
      <c r="D65" s="136">
        <v>3650</v>
      </c>
      <c r="E65" s="135" t="s">
        <v>1367</v>
      </c>
      <c r="F65" s="135" t="s">
        <v>1383</v>
      </c>
      <c r="G65" s="135" t="s">
        <v>1421</v>
      </c>
      <c r="H65" s="135" t="s">
        <v>1370</v>
      </c>
      <c r="I65" s="136">
        <v>365</v>
      </c>
      <c r="J65" s="105"/>
      <c r="K65" t="str">
        <f>IF(A65&gt;0,VLOOKUP(A65,טבלאות!$J:$K,2,0),"")</f>
        <v>אשראי אורנה</v>
      </c>
      <c r="L65" s="50" t="str">
        <f>IF(ISERROR(VLOOKUP(B65,טבלאות!$G:$H,2,0)),"",VLOOKUP(B65,טבלאות!$G:$H,2,0))</f>
        <v>חוגים</v>
      </c>
      <c r="M65" s="51">
        <f t="shared" si="2"/>
        <v>365</v>
      </c>
    </row>
    <row r="66" spans="1:13" hidden="1">
      <c r="A66" t="s">
        <v>626</v>
      </c>
      <c r="B66" s="105" t="s">
        <v>1219</v>
      </c>
      <c r="C66" s="137">
        <v>46021</v>
      </c>
      <c r="D66" s="106">
        <v>14.9</v>
      </c>
      <c r="E66" s="105"/>
      <c r="F66" s="105"/>
      <c r="G66" s="105"/>
      <c r="H66" s="135" t="s">
        <v>1370</v>
      </c>
      <c r="I66" s="106">
        <v>14.9</v>
      </c>
      <c r="J66" s="105"/>
      <c r="K66" t="str">
        <f>IF(A66&gt;0,VLOOKUP(A66,טבלאות!$J:$K,2,0),"")</f>
        <v>שופרסל</v>
      </c>
      <c r="L66" s="50" t="str">
        <f>IF(ISERROR(VLOOKUP(B66,טבלאות!$G:$H,2,0)),"",VLOOKUP(B66,טבלאות!$G:$H,2,0))</f>
        <v>מזון ומשקאות</v>
      </c>
      <c r="M66" s="51">
        <f t="shared" si="1"/>
        <v>14.9</v>
      </c>
    </row>
    <row r="67" spans="1:13" hidden="1">
      <c r="A67" t="s">
        <v>626</v>
      </c>
      <c r="B67" s="105" t="s">
        <v>1422</v>
      </c>
      <c r="C67" s="137">
        <v>46014</v>
      </c>
      <c r="D67" s="106">
        <v>70</v>
      </c>
      <c r="E67" s="105"/>
      <c r="F67" s="105"/>
      <c r="G67" s="105"/>
      <c r="H67" s="135" t="s">
        <v>1370</v>
      </c>
      <c r="I67" s="106">
        <v>70</v>
      </c>
      <c r="J67" s="105"/>
      <c r="K67" t="str">
        <f>IF(A67&gt;0,VLOOKUP(A67,טבלאות!$J:$K,2,0),"")</f>
        <v>שופרסל</v>
      </c>
      <c r="L67" s="50" t="str">
        <f>IF(ISERROR(VLOOKUP(B67,טבלאות!$G:$H,2,0)),"",VLOOKUP(B67,טבלאות!$G:$H,2,0))</f>
        <v>בילוי ומסעדות</v>
      </c>
      <c r="M67" s="51">
        <f t="shared" ref="M67" si="3">IF(OR(L67="",L67="?"),"",IF(L67&gt;0,I67,""))</f>
        <v>70</v>
      </c>
    </row>
    <row r="68" spans="1:13" hidden="1">
      <c r="A68" t="s">
        <v>626</v>
      </c>
      <c r="B68" s="105" t="s">
        <v>1299</v>
      </c>
      <c r="C68" s="137">
        <v>46001</v>
      </c>
      <c r="D68" s="106">
        <v>100</v>
      </c>
      <c r="E68" s="105"/>
      <c r="F68" s="105"/>
      <c r="G68" s="105"/>
      <c r="H68" s="135" t="s">
        <v>1370</v>
      </c>
      <c r="I68" s="106">
        <v>100</v>
      </c>
      <c r="J68" s="105"/>
      <c r="K68" t="str">
        <f>IF(A68&gt;0,VLOOKUP(A68,טבלאות!$J:$K,2,0),"")</f>
        <v>שופרסל</v>
      </c>
      <c r="L68" s="50" t="str">
        <f>IF(ISERROR(VLOOKUP(B68,טבלאות!$G:$H,2,0)),"",VLOOKUP(B68,טבלאות!$G:$H,2,0))</f>
        <v>רכב ותחבורה</v>
      </c>
      <c r="M68" s="51">
        <f t="shared" ref="M68:M113" si="4">IF(OR(L68="",L68="?"),"",IF(L68&gt;0,I68,""))</f>
        <v>100</v>
      </c>
    </row>
    <row r="69" spans="1:13" hidden="1">
      <c r="A69" t="s">
        <v>626</v>
      </c>
      <c r="B69" s="105" t="s">
        <v>930</v>
      </c>
      <c r="C69" s="137">
        <v>46000</v>
      </c>
      <c r="D69" s="106">
        <v>2.4</v>
      </c>
      <c r="E69" s="105"/>
      <c r="F69" s="105"/>
      <c r="G69" s="105"/>
      <c r="H69" s="135" t="s">
        <v>1370</v>
      </c>
      <c r="I69" s="106">
        <v>2.4</v>
      </c>
      <c r="J69" s="105"/>
      <c r="K69" t="str">
        <f>IF(A69&gt;0,VLOOKUP(A69,טבלאות!$J:$K,2,0),"")</f>
        <v>שופרסל</v>
      </c>
      <c r="L69" s="50" t="str">
        <f>IF(ISERROR(VLOOKUP(B69,טבלאות!$G:$H,2,0)),"",VLOOKUP(B69,טבלאות!$G:$H,2,0))</f>
        <v>מזון ומשקאות</v>
      </c>
      <c r="M69" s="51">
        <f t="shared" si="4"/>
        <v>2.4</v>
      </c>
    </row>
    <row r="70" spans="1:13" hidden="1">
      <c r="A70" t="s">
        <v>626</v>
      </c>
      <c r="B70" s="105" t="s">
        <v>930</v>
      </c>
      <c r="C70" s="137">
        <v>45998</v>
      </c>
      <c r="D70" s="106">
        <v>54.72</v>
      </c>
      <c r="E70" s="105"/>
      <c r="F70" s="105"/>
      <c r="G70" s="105"/>
      <c r="H70" s="135" t="s">
        <v>1370</v>
      </c>
      <c r="I70" s="106">
        <v>54.72</v>
      </c>
      <c r="J70" s="105"/>
      <c r="K70" t="str">
        <f>IF(A70&gt;0,VLOOKUP(A70,טבלאות!$J:$K,2,0),"")</f>
        <v>שופרסל</v>
      </c>
      <c r="L70" s="50" t="str">
        <f>IF(ISERROR(VLOOKUP(B70,טבלאות!$G:$H,2,0)),"",VLOOKUP(B70,טבלאות!$G:$H,2,0))</f>
        <v>מזון ומשקאות</v>
      </c>
      <c r="M70" s="51">
        <f t="shared" si="4"/>
        <v>54.72</v>
      </c>
    </row>
    <row r="71" spans="1:13" hidden="1">
      <c r="A71" t="s">
        <v>626</v>
      </c>
      <c r="B71" s="105" t="s">
        <v>109</v>
      </c>
      <c r="C71" s="137">
        <v>45995</v>
      </c>
      <c r="D71" s="106">
        <v>12.9</v>
      </c>
      <c r="E71" s="105"/>
      <c r="F71" s="105"/>
      <c r="G71" s="105"/>
      <c r="H71" s="135" t="s">
        <v>1370</v>
      </c>
      <c r="I71" s="106"/>
      <c r="J71" s="105"/>
      <c r="K71" t="str">
        <f>IF(A71&gt;0,VLOOKUP(A71,טבלאות!$J:$K,2,0),"")</f>
        <v>שופרסל</v>
      </c>
      <c r="L71" s="50" t="str">
        <f>IF(ISERROR(VLOOKUP(B71,טבלאות!$G:$H,2,0)),"",VLOOKUP(B71,טבלאות!$G:$H,2,0))</f>
        <v>שירותי בנקאות</v>
      </c>
      <c r="M71" s="51">
        <f t="shared" si="4"/>
        <v>0</v>
      </c>
    </row>
    <row r="72" spans="1:13" hidden="1">
      <c r="A72" t="s">
        <v>626</v>
      </c>
      <c r="B72" s="105" t="s">
        <v>927</v>
      </c>
      <c r="C72" s="137">
        <v>45993</v>
      </c>
      <c r="D72" s="106">
        <v>90.26</v>
      </c>
      <c r="E72" s="105"/>
      <c r="F72" s="105"/>
      <c r="G72" s="105"/>
      <c r="H72" s="135" t="s">
        <v>1370</v>
      </c>
      <c r="I72" s="106">
        <v>90.26</v>
      </c>
      <c r="J72" s="105"/>
      <c r="K72" t="str">
        <f>IF(A72&gt;0,VLOOKUP(A72,טבלאות!$J:$K,2,0),"")</f>
        <v>שופרסל</v>
      </c>
      <c r="L72" s="50" t="str">
        <f>IF(ISERROR(VLOOKUP(B72,טבלאות!$G:$H,2,0)),"",VLOOKUP(B72,טבלאות!$G:$H,2,0))</f>
        <v>מוצרי חשמל ותקשורת</v>
      </c>
      <c r="M72" s="51">
        <f t="shared" si="4"/>
        <v>90.26</v>
      </c>
    </row>
    <row r="73" spans="1:13" hidden="1">
      <c r="A73" t="s">
        <v>665</v>
      </c>
      <c r="B73" s="105" t="s">
        <v>1423</v>
      </c>
      <c r="C73" s="112">
        <v>46000</v>
      </c>
      <c r="D73" s="106">
        <v>358</v>
      </c>
      <c r="E73" s="105"/>
      <c r="F73" s="105"/>
      <c r="G73" s="105"/>
      <c r="H73" s="135" t="s">
        <v>1370</v>
      </c>
      <c r="I73" s="106">
        <v>358</v>
      </c>
      <c r="J73" s="105"/>
      <c r="K73" t="str">
        <f>IF(A73&gt;0,VLOOKUP(A73,טבלאות!$J:$K,2,0),"")</f>
        <v>בהצדעה</v>
      </c>
      <c r="L73" s="50" t="str">
        <f>IF(ISERROR(VLOOKUP(B73,טבלאות!$G:$H,2,0)),"",VLOOKUP(B73,טבלאות!$G:$H,2,0))</f>
        <v>בית וגן</v>
      </c>
      <c r="M73" s="51">
        <f t="shared" ref="M73:M76" si="5">IF(OR(L73="",L73="?"),"",IF(L73&gt;0,I73,""))</f>
        <v>358</v>
      </c>
    </row>
    <row r="74" spans="1:13">
      <c r="A74" s="105" t="s">
        <v>1253</v>
      </c>
      <c r="B74" s="105" t="s">
        <v>1205</v>
      </c>
      <c r="C74" s="112">
        <v>46003</v>
      </c>
      <c r="D74" s="106">
        <v>53.32</v>
      </c>
      <c r="E74" s="105"/>
      <c r="F74" s="105"/>
      <c r="G74" s="105"/>
      <c r="H74" s="135" t="s">
        <v>1370</v>
      </c>
      <c r="I74" s="106">
        <v>53.32</v>
      </c>
      <c r="J74" s="105"/>
      <c r="K74" t="str">
        <f>IF(A74&gt;0,VLOOKUP(A74,טבלאות!$J:$K,2,0),"")</f>
        <v>טוב</v>
      </c>
      <c r="L74" s="50" t="str">
        <f>IF(ISERROR(VLOOKUP(B74,טבלאות!$G:$H,2,0)),"",VLOOKUP(B74,טבלאות!$G:$H,2,0))</f>
        <v>ביטוח</v>
      </c>
      <c r="M74" s="51">
        <f t="shared" si="5"/>
        <v>53.32</v>
      </c>
    </row>
    <row r="75" spans="1:13">
      <c r="A75" s="105" t="s">
        <v>1253</v>
      </c>
      <c r="B75" s="105" t="s">
        <v>1205</v>
      </c>
      <c r="C75" s="112">
        <v>46003</v>
      </c>
      <c r="D75" s="106">
        <v>53.32</v>
      </c>
      <c r="E75" s="105"/>
      <c r="F75" s="105"/>
      <c r="G75" s="105"/>
      <c r="H75" s="135" t="s">
        <v>1370</v>
      </c>
      <c r="I75" s="106">
        <v>53.32</v>
      </c>
      <c r="J75" s="105"/>
      <c r="K75" t="str">
        <f>IF(A75&gt;0,VLOOKUP(A75,טבלאות!$J:$K,2,0),"")</f>
        <v>טוב</v>
      </c>
      <c r="L75" s="50" t="str">
        <f>IF(ISERROR(VLOOKUP(B75,טבלאות!$G:$H,2,0)),"",VLOOKUP(B75,טבלאות!$G:$H,2,0))</f>
        <v>ביטוח</v>
      </c>
      <c r="M75" s="51">
        <f t="shared" si="5"/>
        <v>53.32</v>
      </c>
    </row>
    <row r="76" spans="1:13">
      <c r="A76" s="105" t="s">
        <v>1253</v>
      </c>
      <c r="B76" s="105" t="s">
        <v>1205</v>
      </c>
      <c r="C76" s="112">
        <v>46003</v>
      </c>
      <c r="D76" s="106">
        <v>107.64</v>
      </c>
      <c r="E76" s="105"/>
      <c r="F76" s="105"/>
      <c r="G76" s="105"/>
      <c r="H76" s="135" t="s">
        <v>1370</v>
      </c>
      <c r="I76" s="106">
        <v>107.64</v>
      </c>
      <c r="J76" s="105"/>
      <c r="K76" t="str">
        <f>IF(A76&gt;0,VLOOKUP(A76,טבלאות!$J:$K,2,0),"")</f>
        <v>טוב</v>
      </c>
      <c r="L76" s="50" t="str">
        <f>IF(ISERROR(VLOOKUP(B76,טבלאות!$G:$H,2,0)),"",VLOOKUP(B76,טבלאות!$G:$H,2,0))</f>
        <v>ביטוח</v>
      </c>
      <c r="M76" s="51">
        <f t="shared" si="5"/>
        <v>107.64</v>
      </c>
    </row>
    <row r="77" spans="1:13">
      <c r="A77" s="105" t="s">
        <v>1253</v>
      </c>
      <c r="B77" s="105" t="s">
        <v>1205</v>
      </c>
      <c r="C77" s="112">
        <v>46003</v>
      </c>
      <c r="D77" s="106">
        <v>142.94</v>
      </c>
      <c r="E77" s="105"/>
      <c r="F77" s="105"/>
      <c r="G77" s="105"/>
      <c r="H77" s="135" t="s">
        <v>1370</v>
      </c>
      <c r="I77" s="106">
        <v>142.94</v>
      </c>
      <c r="J77" s="106"/>
      <c r="K77" t="str">
        <f>IF(A77&gt;0,VLOOKUP(A77,טבלאות!$J:$K,2,0),"")</f>
        <v>טוב</v>
      </c>
      <c r="L77" s="50" t="str">
        <f>IF(ISERROR(VLOOKUP(B77,טבלאות!$G:$H,2,0)),"",VLOOKUP(B77,טבלאות!$G:$H,2,0))</f>
        <v>ביטוח</v>
      </c>
      <c r="M77" s="51">
        <f t="shared" si="4"/>
        <v>142.94</v>
      </c>
    </row>
    <row r="78" spans="1:13">
      <c r="A78" s="105" t="s">
        <v>1253</v>
      </c>
      <c r="B78" s="105" t="s">
        <v>1205</v>
      </c>
      <c r="C78" s="112">
        <v>46003</v>
      </c>
      <c r="D78" s="106">
        <v>139.6</v>
      </c>
      <c r="E78" s="105"/>
      <c r="F78" s="105"/>
      <c r="G78" s="105"/>
      <c r="H78" s="135" t="s">
        <v>1370</v>
      </c>
      <c r="I78" s="106">
        <v>139.6</v>
      </c>
      <c r="J78" s="106"/>
      <c r="K78" t="str">
        <f>IF(A78&gt;0,VLOOKUP(A78,טבלאות!$J:$K,2,0),"")</f>
        <v>טוב</v>
      </c>
      <c r="L78" s="50" t="str">
        <f>IF(ISERROR(VLOOKUP(B78,טבלאות!$G:$H,2,0)),"",VLOOKUP(B78,טבלאות!$G:$H,2,0))</f>
        <v>ביטוח</v>
      </c>
      <c r="M78" s="51">
        <f t="shared" si="4"/>
        <v>139.6</v>
      </c>
    </row>
    <row r="79" spans="1:13" hidden="1">
      <c r="A79" t="s">
        <v>1346</v>
      </c>
      <c r="B79" s="105" t="s">
        <v>1353</v>
      </c>
      <c r="C79" s="112">
        <v>45966</v>
      </c>
      <c r="D79" s="106">
        <v>27567.9</v>
      </c>
      <c r="E79" s="105"/>
      <c r="F79" s="105"/>
      <c r="G79" s="105" t="s">
        <v>1424</v>
      </c>
      <c r="H79" s="135" t="s">
        <v>1370</v>
      </c>
      <c r="I79" s="106">
        <v>9189.2999999999993</v>
      </c>
      <c r="J79" s="106"/>
      <c r="K79" t="str">
        <f>IF(A79&gt;0,VLOOKUP(A79,טבלאות!$J:$K,2,0),"")</f>
        <v>הסתדרות</v>
      </c>
      <c r="L79" s="50" t="str">
        <f>IF(ISERROR(VLOOKUP(B79,טבלאות!$G:$H,2,0)),"",VLOOKUP(B79,טבלאות!$G:$H,2,0))</f>
        <v>נופש</v>
      </c>
      <c r="M79" s="51">
        <f t="shared" si="4"/>
        <v>9189.2999999999993</v>
      </c>
    </row>
    <row r="80" spans="1:13" hidden="1">
      <c r="A80" s="108"/>
      <c r="B80" s="108"/>
      <c r="C80" s="108"/>
      <c r="D80" s="109"/>
      <c r="E80" s="108"/>
      <c r="F80" s="108"/>
      <c r="G80" s="108"/>
      <c r="H80" s="108"/>
      <c r="I80" s="109"/>
      <c r="J80" s="106"/>
      <c r="K80" t="str">
        <f>IF(A80&gt;0,VLOOKUP(A80,טבלאות!$J:$K,2,0),"")</f>
        <v/>
      </c>
      <c r="L80" s="50" t="str">
        <f>IF(ISERROR(VLOOKUP(B80,טבלאות!$G:$H,2,0)),"",VLOOKUP(B80,טבלאות!$G:$H,2,0))</f>
        <v/>
      </c>
      <c r="M80" s="51" t="str">
        <f t="shared" si="4"/>
        <v/>
      </c>
    </row>
    <row r="81" spans="1:13" hidden="1">
      <c r="A81" s="108"/>
      <c r="B81" s="108"/>
      <c r="C81" s="108"/>
      <c r="D81" s="109"/>
      <c r="E81" s="108"/>
      <c r="F81" s="108"/>
      <c r="G81" s="108"/>
      <c r="H81" s="108"/>
      <c r="I81" s="109"/>
      <c r="J81" s="106"/>
      <c r="K81" t="str">
        <f>IF(A81&gt;0,VLOOKUP(A81,טבלאות!$J:$K,2,0),"")</f>
        <v/>
      </c>
      <c r="L81" s="50" t="str">
        <f>IF(ISERROR(VLOOKUP(B81,טבלאות!$G:$H,2,0)),"",VLOOKUP(B81,טבלאות!$G:$H,2,0))</f>
        <v/>
      </c>
      <c r="M81" s="51" t="str">
        <f t="shared" si="4"/>
        <v/>
      </c>
    </row>
    <row r="82" spans="1:13" hidden="1">
      <c r="A82" s="108"/>
      <c r="B82" s="108"/>
      <c r="C82" s="108"/>
      <c r="D82" s="109"/>
      <c r="E82" s="108"/>
      <c r="F82" s="108"/>
      <c r="G82" s="108"/>
      <c r="H82" s="108"/>
      <c r="I82" s="109"/>
      <c r="J82" s="106"/>
      <c r="K82" t="str">
        <f>IF(A82&gt;0,VLOOKUP(A82,טבלאות!$J:$K,2,0),"")</f>
        <v/>
      </c>
      <c r="L82" s="50" t="str">
        <f>IF(ISERROR(VLOOKUP(B82,טבלאות!$G:$H,2,0)),"",VLOOKUP(B82,טבלאות!$G:$H,2,0))</f>
        <v/>
      </c>
      <c r="M82" s="51" t="str">
        <f t="shared" si="4"/>
        <v/>
      </c>
    </row>
    <row r="83" spans="1:13" hidden="1">
      <c r="A83" s="108"/>
      <c r="B83" s="108"/>
      <c r="C83" s="108"/>
      <c r="D83" s="109"/>
      <c r="E83" s="108"/>
      <c r="F83" s="108"/>
      <c r="G83" s="108"/>
      <c r="H83" s="108"/>
      <c r="I83" s="109"/>
      <c r="J83" s="106"/>
      <c r="K83" t="str">
        <f>IF(A83&gt;0,VLOOKUP(A83,טבלאות!$J:$K,2,0),"")</f>
        <v/>
      </c>
      <c r="L83" s="50" t="str">
        <f>IF(ISERROR(VLOOKUP(B83,טבלאות!$G:$H,2,0)),"",VLOOKUP(B83,טבלאות!$G:$H,2,0))</f>
        <v/>
      </c>
      <c r="M83" s="51" t="str">
        <f t="shared" si="4"/>
        <v/>
      </c>
    </row>
    <row r="84" spans="1:13" hidden="1">
      <c r="A84" s="108"/>
      <c r="B84" s="108"/>
      <c r="C84" s="108"/>
      <c r="D84" s="109"/>
      <c r="E84" s="108"/>
      <c r="F84" s="108"/>
      <c r="G84" s="108"/>
      <c r="H84" s="108"/>
      <c r="I84" s="109"/>
      <c r="J84" s="106"/>
      <c r="K84" t="str">
        <f>IF(A84&gt;0,VLOOKUP(A84,טבלאות!$J:$K,2,0),"")</f>
        <v/>
      </c>
      <c r="L84" s="50" t="str">
        <f>IF(ISERROR(VLOOKUP(B84,טבלאות!$G:$H,2,0)),"",VLOOKUP(B84,טבלאות!$G:$H,2,0))</f>
        <v/>
      </c>
      <c r="M84" s="51" t="str">
        <f t="shared" si="4"/>
        <v/>
      </c>
    </row>
    <row r="85" spans="1:13" hidden="1">
      <c r="A85" s="108"/>
      <c r="B85" s="108"/>
      <c r="C85" s="108"/>
      <c r="D85" s="109"/>
      <c r="E85" s="108"/>
      <c r="F85" s="108"/>
      <c r="G85" s="108"/>
      <c r="H85" s="108"/>
      <c r="I85" s="109"/>
      <c r="J85" s="106"/>
      <c r="K85" t="str">
        <f>IF(A85&gt;0,VLOOKUP(A85,טבלאות!$J:$K,2,0),"")</f>
        <v/>
      </c>
      <c r="L85" s="50" t="str">
        <f>IF(ISERROR(VLOOKUP(B85,טבלאות!$G:$H,2,0)),"",VLOOKUP(B85,טבלאות!$G:$H,2,0))</f>
        <v/>
      </c>
      <c r="M85" s="51" t="str">
        <f t="shared" si="4"/>
        <v/>
      </c>
    </row>
    <row r="86" spans="1:13" hidden="1">
      <c r="A86" s="108"/>
      <c r="B86" s="108"/>
      <c r="C86" s="108"/>
      <c r="D86" s="109"/>
      <c r="E86" s="108"/>
      <c r="F86" s="108"/>
      <c r="G86" s="108"/>
      <c r="H86" s="108"/>
      <c r="I86" s="109"/>
      <c r="J86" s="106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 t="shared" si="4"/>
        <v/>
      </c>
    </row>
    <row r="87" spans="1:13" hidden="1">
      <c r="A87" s="108"/>
      <c r="B87" s="108"/>
      <c r="C87" s="108"/>
      <c r="D87" s="109"/>
      <c r="E87" s="108"/>
      <c r="F87" s="108"/>
      <c r="G87" s="108"/>
      <c r="H87" s="108"/>
      <c r="I87" s="109"/>
      <c r="J87" s="106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4"/>
        <v/>
      </c>
    </row>
    <row r="88" spans="1:13" hidden="1">
      <c r="A88"/>
      <c r="B88" s="108"/>
      <c r="C88" s="111"/>
      <c r="D88" s="109"/>
      <c r="E88" s="108"/>
      <c r="F88" s="108"/>
      <c r="G88" s="108"/>
      <c r="H88" s="108"/>
      <c r="I88" s="109"/>
      <c r="J88" s="106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4"/>
        <v/>
      </c>
    </row>
    <row r="89" spans="1:13" hidden="1">
      <c r="A89"/>
      <c r="B89" s="108"/>
      <c r="C89" s="111"/>
      <c r="D89" s="109"/>
      <c r="E89" s="108"/>
      <c r="F89" s="108"/>
      <c r="G89" s="108"/>
      <c r="H89" s="108"/>
      <c r="I89" s="109"/>
      <c r="J89" s="106"/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4"/>
        <v/>
      </c>
    </row>
    <row r="90" spans="1:13" hidden="1">
      <c r="A90"/>
      <c r="B90" s="108"/>
      <c r="C90" s="111"/>
      <c r="D90" s="109"/>
      <c r="E90" s="108"/>
      <c r="F90" s="108"/>
      <c r="G90" s="108"/>
      <c r="H90" s="108"/>
      <c r="I90" s="109"/>
      <c r="J90" s="106"/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4"/>
        <v/>
      </c>
    </row>
    <row r="91" spans="1:13" hidden="1">
      <c r="A91"/>
      <c r="B91" s="108"/>
      <c r="C91" s="111"/>
      <c r="D91" s="109"/>
      <c r="E91" s="108"/>
      <c r="F91" s="108"/>
      <c r="G91" s="108"/>
      <c r="H91" s="108"/>
      <c r="I91" s="109"/>
      <c r="J91" s="106"/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4"/>
        <v/>
      </c>
    </row>
    <row r="92" spans="1:13" hidden="1">
      <c r="A92"/>
      <c r="B92" s="108"/>
      <c r="C92" s="111"/>
      <c r="D92" s="109"/>
      <c r="E92" s="108"/>
      <c r="F92" s="108"/>
      <c r="G92" s="108"/>
      <c r="H92" s="108"/>
      <c r="I92" s="109"/>
      <c r="J92" s="106"/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4"/>
        <v/>
      </c>
    </row>
    <row r="93" spans="1:13" hidden="1">
      <c r="A93"/>
      <c r="B93" s="108"/>
      <c r="C93" s="111"/>
      <c r="D93" s="109"/>
      <c r="E93" s="108"/>
      <c r="F93" s="108"/>
      <c r="G93" s="108"/>
      <c r="H93" s="108"/>
      <c r="I93" s="109"/>
      <c r="J93" s="106"/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4"/>
        <v/>
      </c>
    </row>
    <row r="94" spans="1:13" hidden="1">
      <c r="A94"/>
      <c r="B94" s="108"/>
      <c r="C94" s="111"/>
      <c r="D94" s="109"/>
      <c r="E94" s="108"/>
      <c r="F94" s="108"/>
      <c r="G94" s="108"/>
      <c r="H94" s="108"/>
      <c r="I94" s="109"/>
      <c r="J94" s="106"/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4"/>
        <v/>
      </c>
    </row>
    <row r="95" spans="1:13" hidden="1">
      <c r="A95"/>
      <c r="B95" s="108"/>
      <c r="C95" s="111"/>
      <c r="D95" s="109"/>
      <c r="E95" s="108"/>
      <c r="F95" s="108"/>
      <c r="G95" s="108"/>
      <c r="H95" s="108"/>
      <c r="I95" s="109"/>
      <c r="J95"/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4"/>
        <v/>
      </c>
    </row>
    <row r="96" spans="1:13" hidden="1">
      <c r="A96"/>
      <c r="B96"/>
      <c r="C96" s="55"/>
      <c r="D96" s="77"/>
      <c r="E96" s="96"/>
      <c r="F96" s="96"/>
      <c r="G96"/>
      <c r="H96" s="96"/>
      <c r="I96" s="77"/>
      <c r="J96"/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4"/>
        <v/>
      </c>
    </row>
    <row r="97" spans="1:13" hidden="1">
      <c r="A97"/>
      <c r="B97"/>
      <c r="C97" s="55"/>
      <c r="D97" s="77"/>
      <c r="E97" s="96"/>
      <c r="F97" s="96"/>
      <c r="G97"/>
      <c r="H97" s="96"/>
      <c r="I97" s="77"/>
      <c r="J97"/>
      <c r="L97" s="50" t="str">
        <f>IF(ISERROR(VLOOKUP(B97,טבלאות!$G:$H,2,0)),"",VLOOKUP(B97,טבלאות!$G:$H,2,0))</f>
        <v/>
      </c>
      <c r="M97" s="51" t="str">
        <f t="shared" si="4"/>
        <v/>
      </c>
    </row>
    <row r="98" spans="1:13" hidden="1">
      <c r="A98"/>
      <c r="B98"/>
      <c r="C98" s="55"/>
      <c r="D98" s="77"/>
      <c r="E98"/>
      <c r="F98"/>
      <c r="G98"/>
      <c r="H98" s="96"/>
      <c r="I98" s="77"/>
      <c r="J98"/>
      <c r="L98" s="50" t="str">
        <f>IF(ISERROR(VLOOKUP(B98,טבלאות!$G:$H,2,0)),"",VLOOKUP(B98,טבלאות!$G:$H,2,0))</f>
        <v/>
      </c>
      <c r="M98" s="51" t="str">
        <f t="shared" si="4"/>
        <v/>
      </c>
    </row>
    <row r="99" spans="1:13" hidden="1">
      <c r="A99"/>
      <c r="B99"/>
      <c r="C99" s="55"/>
      <c r="D99" s="77"/>
      <c r="E99"/>
      <c r="F99"/>
      <c r="G99"/>
      <c r="H99" s="96"/>
      <c r="I99" s="77"/>
      <c r="J99"/>
      <c r="L99" s="50" t="str">
        <f>IF(ISERROR(VLOOKUP(B99,טבלאות!$G:$H,2,0)),"",VLOOKUP(B99,טבלאות!$G:$H,2,0))</f>
        <v/>
      </c>
      <c r="M99" s="51" t="str">
        <f t="shared" si="4"/>
        <v/>
      </c>
    </row>
    <row r="100" spans="1:13" hidden="1">
      <c r="A100"/>
      <c r="B100"/>
      <c r="C100" s="55"/>
      <c r="D100" s="77"/>
      <c r="E100"/>
      <c r="F100"/>
      <c r="G100"/>
      <c r="H100" s="96"/>
      <c r="I100" s="77"/>
      <c r="J100"/>
      <c r="L100" s="50" t="str">
        <f>IF(ISERROR(VLOOKUP(B100,טבלאות!$G:$H,2,0)),"",VLOOKUP(B100,טבלאות!$G:$H,2,0))</f>
        <v/>
      </c>
      <c r="M100" s="51" t="str">
        <f t="shared" si="4"/>
        <v/>
      </c>
    </row>
    <row r="101" spans="1:13" hidden="1">
      <c r="A101"/>
      <c r="B101"/>
      <c r="C101" s="55"/>
      <c r="D101" s="77"/>
      <c r="E101"/>
      <c r="F101"/>
      <c r="G101"/>
      <c r="H101" s="96"/>
      <c r="I101" s="77"/>
      <c r="J101"/>
      <c r="L101" s="50" t="str">
        <f>IF(ISERROR(VLOOKUP(B101,טבלאות!$G:$H,2,0)),"",VLOOKUP(B101,טבלאות!$G:$H,2,0))</f>
        <v/>
      </c>
      <c r="M101" s="51" t="str">
        <f t="shared" si="4"/>
        <v/>
      </c>
    </row>
    <row r="102" spans="1:13" hidden="1">
      <c r="A102"/>
      <c r="B102"/>
      <c r="C102" s="55"/>
      <c r="D102" s="77"/>
      <c r="E102"/>
      <c r="F102"/>
      <c r="G102"/>
      <c r="H102" s="96"/>
      <c r="I102" s="77"/>
      <c r="J102"/>
      <c r="L102" s="50" t="str">
        <f>IF(ISERROR(VLOOKUP(B102,טבלאות!$G:$H,2,0)),"",VLOOKUP(B102,טבלאות!$G:$H,2,0))</f>
        <v/>
      </c>
      <c r="M102" s="51" t="str">
        <f t="shared" si="4"/>
        <v/>
      </c>
    </row>
    <row r="103" spans="1:13" hidden="1">
      <c r="A103"/>
      <c r="B103"/>
      <c r="C103" s="55"/>
      <c r="D103" s="77"/>
      <c r="E103"/>
      <c r="F103"/>
      <c r="G103"/>
      <c r="H103" s="96"/>
      <c r="I103" s="77"/>
      <c r="J103"/>
      <c r="L103" s="50" t="str">
        <f>IF(ISERROR(VLOOKUP(B103,טבלאות!$G:$H,2,0)),"",VLOOKUP(B103,טבלאות!$G:$H,2,0))</f>
        <v/>
      </c>
      <c r="M103" s="51" t="str">
        <f t="shared" si="4"/>
        <v/>
      </c>
    </row>
    <row r="104" spans="1:13" hidden="1">
      <c r="A104"/>
      <c r="B104"/>
      <c r="C104" s="55"/>
      <c r="D104" s="77"/>
      <c r="E104"/>
      <c r="F104"/>
      <c r="G104"/>
      <c r="H104" s="96"/>
      <c r="I104" s="77"/>
      <c r="J104"/>
      <c r="L104" s="50" t="str">
        <f>IF(ISERROR(VLOOKUP(B104,טבלאות!$G:$H,2,0)),"",VLOOKUP(B104,טבלאות!$G:$H,2,0))</f>
        <v/>
      </c>
      <c r="M104" s="51" t="str">
        <f t="shared" si="4"/>
        <v/>
      </c>
    </row>
    <row r="105" spans="1:13" hidden="1">
      <c r="A105"/>
      <c r="B105"/>
      <c r="C105" s="55"/>
      <c r="D105" s="77"/>
      <c r="E105"/>
      <c r="F105"/>
      <c r="G105"/>
      <c r="H105" s="96"/>
      <c r="I105" s="77"/>
      <c r="J105"/>
      <c r="L105" s="50" t="str">
        <f>IF(ISERROR(VLOOKUP(B105,טבלאות!$G:$H,2,0)),"",VLOOKUP(B105,טבלאות!$G:$H,2,0))</f>
        <v/>
      </c>
      <c r="M105" s="51" t="str">
        <f t="shared" si="4"/>
        <v/>
      </c>
    </row>
    <row r="106" spans="1:13" hidden="1">
      <c r="A106"/>
      <c r="B106"/>
      <c r="C106" s="55"/>
      <c r="D106" s="77"/>
      <c r="E106"/>
      <c r="F106"/>
      <c r="G106"/>
      <c r="H106" s="96"/>
      <c r="I106" s="77"/>
      <c r="J106"/>
      <c r="L106" s="50" t="str">
        <f>IF(ISERROR(VLOOKUP(B106,טבלאות!$G:$H,2,0)),"",VLOOKUP(B106,טבלאות!$G:$H,2,0))</f>
        <v/>
      </c>
      <c r="M106" s="51" t="str">
        <f t="shared" si="4"/>
        <v/>
      </c>
    </row>
    <row r="107" spans="1:13" hidden="1">
      <c r="A107"/>
      <c r="B107"/>
      <c r="C107" s="55"/>
      <c r="D107" s="77"/>
      <c r="E107"/>
      <c r="F107"/>
      <c r="G107"/>
      <c r="H107" s="96"/>
      <c r="I107" s="77"/>
      <c r="J107"/>
      <c r="L107" s="50" t="str">
        <f>IF(ISERROR(VLOOKUP(B107,טבלאות!$G:$H,2,0)),"",VLOOKUP(B107,טבלאות!$G:$H,2,0))</f>
        <v/>
      </c>
      <c r="M107" s="51" t="str">
        <f t="shared" si="4"/>
        <v/>
      </c>
    </row>
    <row r="108" spans="1:13" hidden="1">
      <c r="A108"/>
      <c r="B108"/>
      <c r="C108" s="55"/>
      <c r="D108" s="77"/>
      <c r="E108"/>
      <c r="F108"/>
      <c r="G108"/>
      <c r="H108" s="96"/>
      <c r="I108" s="77"/>
      <c r="J108"/>
      <c r="L108" s="50" t="str">
        <f>IF(ISERROR(VLOOKUP(B108,טבלאות!$G:$H,2,0)),"",VLOOKUP(B108,טבלאות!$G:$H,2,0))</f>
        <v/>
      </c>
      <c r="M108" s="51" t="str">
        <f t="shared" si="4"/>
        <v/>
      </c>
    </row>
    <row r="109" spans="1:13" hidden="1">
      <c r="A109"/>
      <c r="B109"/>
      <c r="C109" s="55"/>
      <c r="D109" s="77"/>
      <c r="E109"/>
      <c r="F109"/>
      <c r="G109"/>
      <c r="H109" s="96"/>
      <c r="I109" s="77"/>
      <c r="J109"/>
      <c r="L109" s="50" t="str">
        <f>IF(ISERROR(VLOOKUP(B109,טבלאות!$G:$H,2,0)),"",VLOOKUP(B109,טבלאות!$G:$H,2,0))</f>
        <v/>
      </c>
      <c r="M109" s="51" t="str">
        <f t="shared" ref="M109:M112" si="6">IF(OR(L109="",L109="?"),"",IF(L109&gt;0,I109,""))</f>
        <v/>
      </c>
    </row>
    <row r="110" spans="1:13" hidden="1">
      <c r="A110"/>
      <c r="C110" s="100"/>
      <c r="L110" s="50" t="str">
        <f>IF(ISERROR(VLOOKUP(B110,טבלאות!$G:$H,2,0)),"",VLOOKUP(B110,טבלאות!$G:$H,2,0))</f>
        <v/>
      </c>
      <c r="M110" s="51" t="str">
        <f t="shared" si="6"/>
        <v/>
      </c>
    </row>
    <row r="111" spans="1:13">
      <c r="A111"/>
      <c r="C111" s="100"/>
      <c r="L111" s="50" t="str">
        <f>IF(ISERROR(VLOOKUP(B111,טבלאות!$G:$H,2,0)),"",VLOOKUP(B111,טבלאות!$G:$H,2,0))</f>
        <v/>
      </c>
      <c r="M111" s="51" t="str">
        <f t="shared" si="6"/>
        <v/>
      </c>
    </row>
    <row r="112" spans="1:13">
      <c r="A112"/>
      <c r="C112" s="100"/>
      <c r="L112" s="50" t="str">
        <f>IF(ISERROR(VLOOKUP(B112,טבלאות!$G:$H,2,0)),"",VLOOKUP(B112,טבלאות!$G:$H,2,0))</f>
        <v/>
      </c>
      <c r="M112" s="51" t="str">
        <f t="shared" si="6"/>
        <v/>
      </c>
    </row>
    <row r="113" spans="1:13">
      <c r="A113"/>
      <c r="C113" s="100"/>
      <c r="L113" s="50" t="str">
        <f>IF(ISERROR(VLOOKUP(B113,טבלאות!$G:$H,2,0)),"",VLOOKUP(B113,טבלאות!$G:$H,2,0))</f>
        <v/>
      </c>
      <c r="M113" s="51" t="str">
        <f t="shared" si="4"/>
        <v/>
      </c>
    </row>
  </sheetData>
  <autoFilter ref="A1:DF110" xr:uid="{00000000-0009-0000-0000-000004000000}">
    <filterColumn colId="11">
      <filters>
        <filter val="ביטוח"/>
      </filters>
    </filterColumn>
  </autoFilter>
  <conditionalFormatting sqref="L2:L113">
    <cfRule type="cellIs" dxfId="11" priority="1" operator="equal">
      <formula>""</formula>
    </cfRule>
  </conditionalFormatting>
  <dataValidations count="2">
    <dataValidation type="list" allowBlank="1" showInputMessage="1" showErrorMessage="1" sqref="L2:L113" xr:uid="{00000000-0002-0000-0400-000000000000}">
      <formula1>סוגי_הוצאות</formula1>
    </dataValidation>
    <dataValidation type="list" allowBlank="1" showInputMessage="1" showErrorMessage="1" sqref="K2:K113" xr:uid="{00000000-0002-0000-0400-000001000000}">
      <formula1>סוג_כרטיס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G113"/>
  <sheetViews>
    <sheetView rightToLeft="1" workbookViewId="0">
      <pane xSplit="3" ySplit="1" topLeftCell="D66" activePane="bottomRight" state="frozen"/>
      <selection pane="topRight" activeCell="D1" sqref="D1"/>
      <selection pane="bottomLeft" activeCell="A10" sqref="A10"/>
      <selection pane="bottomRight" activeCell="K96" sqref="K96:K108"/>
    </sheetView>
  </sheetViews>
  <sheetFormatPr defaultRowHeight="15"/>
  <cols>
    <col min="1" max="1" width="16.42578125" customWidth="1"/>
    <col min="2" max="2" width="22.85546875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0" max="10" width="14.85546875" customWidth="1"/>
    <col min="11" max="11" width="12.140625" style="73" customWidth="1"/>
    <col min="12" max="12" width="17" style="73" bestFit="1" customWidth="1"/>
    <col min="13" max="13" width="9.140625" style="73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>
      <c r="A2" s="135" t="s">
        <v>1355</v>
      </c>
      <c r="B2" s="135" t="s">
        <v>638</v>
      </c>
      <c r="C2" s="135" t="s">
        <v>1425</v>
      </c>
      <c r="D2" s="136">
        <v>130.4</v>
      </c>
      <c r="E2" s="135" t="s">
        <v>1367</v>
      </c>
      <c r="F2" s="135" t="s">
        <v>1368</v>
      </c>
      <c r="G2" s="135" t="s">
        <v>1369</v>
      </c>
      <c r="H2" s="135" t="s">
        <v>1426</v>
      </c>
      <c r="I2" s="136">
        <v>130.4</v>
      </c>
      <c r="J2" s="97"/>
      <c r="K2" t="str">
        <f>IF(A2&gt;0,VLOOKUP(A2,טבלאות!$J:$K,2,0),"")</f>
        <v>אשראי מיכה</v>
      </c>
      <c r="L2" s="50" t="str">
        <f>IF(ISERROR(VLOOKUP(B2,טבלאות!$G:$H,2,0)),"",VLOOKUP(B2,טבלאות!$G:$H,2,0))</f>
        <v>מזון ומשקאות</v>
      </c>
      <c r="M2" s="51">
        <f t="shared" ref="M2:M65" si="0">IF(OR(L2="",L2="?"),"",IF(L2&gt;0,I2,""))</f>
        <v>130.4</v>
      </c>
    </row>
    <row r="3" spans="1:111" s="36" customFormat="1">
      <c r="A3" s="135" t="s">
        <v>1355</v>
      </c>
      <c r="B3" s="135" t="s">
        <v>886</v>
      </c>
      <c r="C3" s="135" t="s">
        <v>1425</v>
      </c>
      <c r="D3" s="136">
        <v>13.15</v>
      </c>
      <c r="E3" s="135" t="s">
        <v>1367</v>
      </c>
      <c r="F3" s="135" t="s">
        <v>1368</v>
      </c>
      <c r="G3" s="135" t="s">
        <v>1369</v>
      </c>
      <c r="H3" s="135" t="s">
        <v>1426</v>
      </c>
      <c r="I3" s="136">
        <v>13.15</v>
      </c>
      <c r="J3" s="97"/>
      <c r="K3" t="str">
        <f>IF(A3&gt;0,VLOOKUP(A3,טבלאות!$J:$K,2,0),"")</f>
        <v>אשראי מיכה</v>
      </c>
      <c r="L3" s="50" t="str">
        <f>IF(ISERROR(VLOOKUP(B3,טבלאות!$G:$H,2,0)),"",VLOOKUP(B3,טבלאות!$G:$H,2,0))</f>
        <v>מזון ומשקאות</v>
      </c>
      <c r="M3" s="51">
        <f t="shared" si="0"/>
        <v>13.15</v>
      </c>
    </row>
    <row r="4" spans="1:111" ht="15" customHeight="1">
      <c r="A4" s="135" t="s">
        <v>1355</v>
      </c>
      <c r="B4" s="135" t="s">
        <v>1241</v>
      </c>
      <c r="C4" s="135" t="s">
        <v>1425</v>
      </c>
      <c r="D4" s="136">
        <v>37</v>
      </c>
      <c r="E4" s="135" t="s">
        <v>1367</v>
      </c>
      <c r="F4" s="135" t="s">
        <v>1368</v>
      </c>
      <c r="G4" s="135" t="s">
        <v>1369</v>
      </c>
      <c r="H4" s="135" t="s">
        <v>1426</v>
      </c>
      <c r="I4" s="136">
        <v>37</v>
      </c>
      <c r="J4" s="97"/>
      <c r="K4" t="str">
        <f>IF(A4&gt;0,VLOOKUP(A4,טבלאות!$J:$K,2,0),"")</f>
        <v>אשראי מיכה</v>
      </c>
      <c r="L4" s="50" t="str">
        <f>IF(ISERROR(VLOOKUP(B4,טבלאות!$G:$H,2,0)),"",VLOOKUP(B4,טבלאות!$G:$H,2,0))</f>
        <v>מוצרי חשמל ותקשורת</v>
      </c>
      <c r="M4" s="51">
        <f t="shared" si="0"/>
        <v>37</v>
      </c>
    </row>
    <row r="5" spans="1:111" ht="15" customHeight="1">
      <c r="A5" s="135" t="s">
        <v>1355</v>
      </c>
      <c r="B5" s="135" t="s">
        <v>959</v>
      </c>
      <c r="C5" s="135" t="s">
        <v>1425</v>
      </c>
      <c r="D5" s="136">
        <v>210.46</v>
      </c>
      <c r="E5" s="135" t="s">
        <v>1367</v>
      </c>
      <c r="F5" s="135" t="s">
        <v>1368</v>
      </c>
      <c r="G5" s="135" t="s">
        <v>1369</v>
      </c>
      <c r="H5" s="135" t="s">
        <v>1426</v>
      </c>
      <c r="I5" s="136">
        <v>210.46</v>
      </c>
      <c r="J5" s="97"/>
      <c r="K5" t="str">
        <f>IF(A5&gt;0,VLOOKUP(A5,טבלאות!$J:$K,2,0),"")</f>
        <v>אשראי מיכה</v>
      </c>
      <c r="L5" s="50" t="str">
        <f>IF(ISERROR(VLOOKUP(B5,טבלאות!$G:$H,2,0)),"",VLOOKUP(B5,טבלאות!$G:$H,2,0))</f>
        <v>רכב ותחבורה</v>
      </c>
      <c r="M5" s="51">
        <f t="shared" si="0"/>
        <v>210.46</v>
      </c>
    </row>
    <row r="6" spans="1:111">
      <c r="A6" s="135" t="s">
        <v>1355</v>
      </c>
      <c r="B6" s="135" t="s">
        <v>638</v>
      </c>
      <c r="C6" s="135" t="s">
        <v>1425</v>
      </c>
      <c r="D6" s="136">
        <v>29.4</v>
      </c>
      <c r="E6" s="135" t="s">
        <v>1367</v>
      </c>
      <c r="F6" s="135" t="s">
        <v>1368</v>
      </c>
      <c r="G6" s="135" t="s">
        <v>1369</v>
      </c>
      <c r="H6" s="135" t="s">
        <v>1426</v>
      </c>
      <c r="I6" s="136">
        <v>29.4</v>
      </c>
      <c r="J6" s="97"/>
      <c r="K6" t="str">
        <f>IF(A6&gt;0,VLOOKUP(A6,טבלאות!$J:$K,2,0),"")</f>
        <v>אשראי מיכה</v>
      </c>
      <c r="L6" s="50" t="str">
        <f>IF(ISERROR(VLOOKUP(B6,טבלאות!$G:$H,2,0)),"",VLOOKUP(B6,טבלאות!$G:$H,2,0))</f>
        <v>מזון ומשקאות</v>
      </c>
      <c r="M6" s="51">
        <f t="shared" si="0"/>
        <v>29.4</v>
      </c>
    </row>
    <row r="7" spans="1:111" ht="15.75" customHeight="1">
      <c r="A7" s="135" t="s">
        <v>764</v>
      </c>
      <c r="B7" s="135" t="s">
        <v>581</v>
      </c>
      <c r="C7" s="135" t="s">
        <v>1425</v>
      </c>
      <c r="D7" s="136">
        <v>200</v>
      </c>
      <c r="E7" s="135" t="s">
        <v>1367</v>
      </c>
      <c r="F7" s="135" t="s">
        <v>1368</v>
      </c>
      <c r="G7" s="135" t="s">
        <v>1427</v>
      </c>
      <c r="H7" s="135" t="s">
        <v>1426</v>
      </c>
      <c r="I7" s="136">
        <v>200</v>
      </c>
      <c r="J7" s="97"/>
      <c r="K7" t="str">
        <f>IF(A7&gt;0,VLOOKUP(A7,טבלאות!$J:$K,2,0),"")</f>
        <v>אשראי אורנה</v>
      </c>
      <c r="L7" s="50" t="str">
        <f>IF(ISERROR(VLOOKUP(B7,טבלאות!$G:$H,2,0)),"",VLOOKUP(B7,טבלאות!$G:$H,2,0))</f>
        <v>חוגים</v>
      </c>
      <c r="M7" s="51">
        <f t="shared" si="0"/>
        <v>200</v>
      </c>
    </row>
    <row r="8" spans="1:111" ht="15" customHeight="1">
      <c r="A8" s="135" t="s">
        <v>1355</v>
      </c>
      <c r="B8" s="135" t="s">
        <v>358</v>
      </c>
      <c r="C8" s="135" t="s">
        <v>1428</v>
      </c>
      <c r="D8" s="136">
        <v>69.900000000000006</v>
      </c>
      <c r="E8" s="135" t="s">
        <v>1367</v>
      </c>
      <c r="F8" s="135" t="s">
        <v>1372</v>
      </c>
      <c r="G8" s="135" t="s">
        <v>1373</v>
      </c>
      <c r="H8" s="135" t="s">
        <v>1426</v>
      </c>
      <c r="I8" s="136">
        <v>69.900000000000006</v>
      </c>
      <c r="J8" s="97"/>
      <c r="K8" t="str">
        <f>IF(A8&gt;0,VLOOKUP(A8,טבלאות!$J:$K,2,0),"")</f>
        <v>אשראי מיכה</v>
      </c>
      <c r="L8" s="50" t="str">
        <f>IF(ISERROR(VLOOKUP(B8,טבלאות!$G:$H,2,0)),"",VLOOKUP(B8,טבלאות!$G:$H,2,0))</f>
        <v>מוצרי חשמל ותקשורת</v>
      </c>
      <c r="M8" s="51">
        <f t="shared" si="0"/>
        <v>69.900000000000006</v>
      </c>
    </row>
    <row r="9" spans="1:111" ht="15" customHeight="1">
      <c r="A9" s="135" t="s">
        <v>1355</v>
      </c>
      <c r="B9" s="135" t="s">
        <v>518</v>
      </c>
      <c r="C9" s="135" t="s">
        <v>1428</v>
      </c>
      <c r="D9" s="136">
        <v>47.6</v>
      </c>
      <c r="E9" s="135" t="s">
        <v>1367</v>
      </c>
      <c r="F9" s="135" t="s">
        <v>1368</v>
      </c>
      <c r="G9" s="135" t="s">
        <v>1369</v>
      </c>
      <c r="H9" s="135" t="s">
        <v>1426</v>
      </c>
      <c r="I9" s="136">
        <v>47.6</v>
      </c>
      <c r="J9" s="97"/>
      <c r="K9" t="str">
        <f>IF(A9&gt;0,VLOOKUP(A9,טבלאות!$J:$K,2,0),"")</f>
        <v>אשראי מיכה</v>
      </c>
      <c r="L9" s="50" t="str">
        <f>IF(ISERROR(VLOOKUP(B9,טבלאות!$G:$H,2,0)),"",VLOOKUP(B9,טבלאות!$G:$H,2,0))</f>
        <v>מזון ומשקאות</v>
      </c>
      <c r="M9" s="51">
        <f t="shared" si="0"/>
        <v>47.6</v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>
      <c r="A10" s="135" t="s">
        <v>1355</v>
      </c>
      <c r="B10" s="135" t="s">
        <v>518</v>
      </c>
      <c r="C10" s="135" t="s">
        <v>1429</v>
      </c>
      <c r="D10" s="136">
        <v>5.9</v>
      </c>
      <c r="E10" s="135" t="s">
        <v>1367</v>
      </c>
      <c r="F10" s="135" t="s">
        <v>1368</v>
      </c>
      <c r="G10" s="135" t="s">
        <v>1369</v>
      </c>
      <c r="H10" s="135" t="s">
        <v>1426</v>
      </c>
      <c r="I10" s="136">
        <v>5.9</v>
      </c>
      <c r="J10" s="97"/>
      <c r="K10" t="str">
        <f>IF(A10&gt;0,VLOOKUP(A10,טבלאות!$J:$K,2,0),"")</f>
        <v>אשראי מיכה</v>
      </c>
      <c r="L10" s="50" t="str">
        <f>IF(ISERROR(VLOOKUP(B10,טבלאות!$G:$H,2,0)),"",VLOOKUP(B10,טבלאות!$G:$H,2,0))</f>
        <v>מזון ומשקאות</v>
      </c>
      <c r="M10" s="51">
        <f t="shared" si="0"/>
        <v>5.9</v>
      </c>
    </row>
    <row r="11" spans="1:111">
      <c r="A11" s="135" t="s">
        <v>1355</v>
      </c>
      <c r="B11" s="135" t="s">
        <v>966</v>
      </c>
      <c r="C11" s="135" t="s">
        <v>1429</v>
      </c>
      <c r="D11" s="136">
        <v>109.4</v>
      </c>
      <c r="E11" s="135" t="s">
        <v>1367</v>
      </c>
      <c r="F11" s="135" t="s">
        <v>1368</v>
      </c>
      <c r="G11" s="135" t="s">
        <v>1369</v>
      </c>
      <c r="H11" s="135" t="s">
        <v>1426</v>
      </c>
      <c r="I11" s="136">
        <v>109.4</v>
      </c>
      <c r="J11" s="97"/>
      <c r="K11" t="str">
        <f>IF(A11&gt;0,VLOOKUP(A11,טבלאות!$J:$K,2,0),"")</f>
        <v>אשראי מיכה</v>
      </c>
      <c r="L11" s="50" t="str">
        <f>IF(ISERROR(VLOOKUP(B11,טבלאות!$G:$H,2,0)),"",VLOOKUP(B11,טבלאות!$G:$H,2,0))</f>
        <v>מזון ומשקאות</v>
      </c>
      <c r="M11" s="51">
        <f t="shared" si="0"/>
        <v>109.4</v>
      </c>
    </row>
    <row r="12" spans="1:111">
      <c r="A12" s="135" t="s">
        <v>1355</v>
      </c>
      <c r="B12" s="135" t="s">
        <v>886</v>
      </c>
      <c r="C12" s="135" t="s">
        <v>1429</v>
      </c>
      <c r="D12" s="136">
        <v>65.92</v>
      </c>
      <c r="E12" s="135" t="s">
        <v>1367</v>
      </c>
      <c r="F12" s="135" t="s">
        <v>1368</v>
      </c>
      <c r="G12" s="135" t="s">
        <v>1369</v>
      </c>
      <c r="H12" s="135" t="s">
        <v>1426</v>
      </c>
      <c r="I12" s="136">
        <v>65.92</v>
      </c>
      <c r="J12" s="97"/>
      <c r="K12" t="str">
        <f>IF(A12&gt;0,VLOOKUP(A12,טבלאות!$J:$K,2,0),"")</f>
        <v>אשראי מיכה</v>
      </c>
      <c r="L12" s="50" t="str">
        <f>IF(ISERROR(VLOOKUP(B12,טבלאות!$G:$H,2,0)),"",VLOOKUP(B12,טבלאות!$G:$H,2,0))</f>
        <v>מזון ומשקאות</v>
      </c>
      <c r="M12" s="51">
        <f t="shared" si="0"/>
        <v>65.92</v>
      </c>
    </row>
    <row r="13" spans="1:111">
      <c r="A13" s="135" t="s">
        <v>1355</v>
      </c>
      <c r="B13" s="135" t="s">
        <v>1430</v>
      </c>
      <c r="C13" s="135" t="s">
        <v>1429</v>
      </c>
      <c r="D13" s="136">
        <v>74</v>
      </c>
      <c r="E13" s="135" t="s">
        <v>1367</v>
      </c>
      <c r="F13" s="135" t="s">
        <v>1368</v>
      </c>
      <c r="G13" s="135" t="s">
        <v>1369</v>
      </c>
      <c r="H13" s="135" t="s">
        <v>1426</v>
      </c>
      <c r="I13" s="136">
        <v>74</v>
      </c>
      <c r="J13" s="97"/>
      <c r="K13" t="str">
        <f>IF(A13&gt;0,VLOOKUP(A13,טבלאות!$J:$K,2,0),"")</f>
        <v>אשראי מיכה</v>
      </c>
      <c r="L13" s="50" t="str">
        <f>IF(ISERROR(VLOOKUP(B13,טבלאות!$G:$H,2,0)),"",VLOOKUP(B13,טבלאות!$G:$H,2,0))</f>
        <v>בילוי ומסעדות</v>
      </c>
      <c r="M13" s="51">
        <f t="shared" si="0"/>
        <v>74</v>
      </c>
    </row>
    <row r="14" spans="1:111">
      <c r="A14" s="135" t="s">
        <v>1355</v>
      </c>
      <c r="B14" s="135" t="s">
        <v>927</v>
      </c>
      <c r="C14" s="135" t="s">
        <v>1429</v>
      </c>
      <c r="D14" s="136">
        <v>-12.49</v>
      </c>
      <c r="E14" s="135" t="s">
        <v>1367</v>
      </c>
      <c r="F14" s="135" t="s">
        <v>1431</v>
      </c>
      <c r="G14" s="135" t="s">
        <v>1432</v>
      </c>
      <c r="H14" s="135" t="s">
        <v>1426</v>
      </c>
      <c r="I14" s="136">
        <v>-12.49</v>
      </c>
      <c r="J14" s="97"/>
      <c r="K14" t="str">
        <f>IF(A14&gt;0,VLOOKUP(A14,טבלאות!$J:$K,2,0),"")</f>
        <v>אשראי מיכה</v>
      </c>
      <c r="L14" s="50" t="str">
        <f>IF(ISERROR(VLOOKUP(B14,טבלאות!$G:$H,2,0)),"",VLOOKUP(B14,טבלאות!$G:$H,2,0))</f>
        <v>מוצרי חשמל ותקשורת</v>
      </c>
      <c r="M14" s="51">
        <f t="shared" si="0"/>
        <v>-12.49</v>
      </c>
    </row>
    <row r="15" spans="1:111">
      <c r="A15" s="135" t="s">
        <v>1355</v>
      </c>
      <c r="B15" s="135" t="s">
        <v>1132</v>
      </c>
      <c r="C15" s="135" t="s">
        <v>1433</v>
      </c>
      <c r="D15" s="136">
        <v>80</v>
      </c>
      <c r="E15" s="135" t="s">
        <v>1367</v>
      </c>
      <c r="F15" s="135" t="s">
        <v>1368</v>
      </c>
      <c r="G15" s="135" t="s">
        <v>1375</v>
      </c>
      <c r="H15" s="135" t="s">
        <v>1426</v>
      </c>
      <c r="I15" s="136">
        <v>80</v>
      </c>
      <c r="J15" s="97"/>
      <c r="K15" t="str">
        <f>IF(A15&gt;0,VLOOKUP(A15,טבלאות!$J:$K,2,0),"")</f>
        <v>אשראי מיכה</v>
      </c>
      <c r="L15" s="50" t="str">
        <f>IF(ISERROR(VLOOKUP(B15,טבלאות!$G:$H,2,0)),"",VLOOKUP(B15,טבלאות!$G:$H,2,0))</f>
        <v>ביטוח</v>
      </c>
      <c r="M15" s="51">
        <f t="shared" si="0"/>
        <v>80</v>
      </c>
    </row>
    <row r="16" spans="1:111">
      <c r="A16" s="135" t="s">
        <v>1355</v>
      </c>
      <c r="B16" s="135" t="s">
        <v>86</v>
      </c>
      <c r="C16" s="135" t="s">
        <v>1433</v>
      </c>
      <c r="D16" s="136">
        <v>134.24</v>
      </c>
      <c r="E16" s="135" t="s">
        <v>1367</v>
      </c>
      <c r="F16" s="135" t="s">
        <v>1368</v>
      </c>
      <c r="G16" s="135" t="s">
        <v>1375</v>
      </c>
      <c r="H16" s="135" t="s">
        <v>1426</v>
      </c>
      <c r="I16" s="136">
        <v>134.24</v>
      </c>
      <c r="J16" s="97"/>
      <c r="K16" t="str">
        <f>IF(A16&gt;0,VLOOKUP(A16,טבלאות!$J:$K,2,0),"")</f>
        <v>אשראי מיכה</v>
      </c>
      <c r="L16" s="50" t="str">
        <f>IF(ISERROR(VLOOKUP(B16,טבלאות!$G:$H,2,0)),"",VLOOKUP(B16,טבלאות!$G:$H,2,0))</f>
        <v>מוצרי חשמל ותקשורת</v>
      </c>
      <c r="M16" s="51">
        <f t="shared" si="0"/>
        <v>134.24</v>
      </c>
    </row>
    <row r="17" spans="1:13">
      <c r="A17" s="135" t="s">
        <v>764</v>
      </c>
      <c r="B17" s="135" t="s">
        <v>246</v>
      </c>
      <c r="C17" s="135" t="s">
        <v>1433</v>
      </c>
      <c r="D17" s="136">
        <v>260</v>
      </c>
      <c r="E17" s="135" t="s">
        <v>1367</v>
      </c>
      <c r="F17" s="135" t="s">
        <v>1368</v>
      </c>
      <c r="G17" s="135" t="s">
        <v>1386</v>
      </c>
      <c r="H17" s="135" t="s">
        <v>1426</v>
      </c>
      <c r="I17" s="136">
        <v>260</v>
      </c>
      <c r="J17" s="97"/>
      <c r="K17" t="str">
        <f>IF(A17&gt;0,VLOOKUP(A17,טבלאות!$J:$K,2,0),"")</f>
        <v>אשראי אורנה</v>
      </c>
      <c r="L17" s="50" t="str">
        <f>IF(ISERROR(VLOOKUP(B17,טבלאות!$G:$H,2,0)),"",VLOOKUP(B17,טבלאות!$G:$H,2,0))</f>
        <v>חוגים</v>
      </c>
      <c r="M17" s="51">
        <f t="shared" si="0"/>
        <v>260</v>
      </c>
    </row>
    <row r="18" spans="1:13">
      <c r="A18" s="135" t="s">
        <v>1355</v>
      </c>
      <c r="B18" s="135" t="s">
        <v>1026</v>
      </c>
      <c r="C18" s="135" t="s">
        <v>1434</v>
      </c>
      <c r="D18" s="136">
        <v>243.74</v>
      </c>
      <c r="E18" s="135" t="s">
        <v>1367</v>
      </c>
      <c r="F18" s="135" t="s">
        <v>1368</v>
      </c>
      <c r="G18" s="135" t="s">
        <v>1375</v>
      </c>
      <c r="H18" s="135" t="s">
        <v>1426</v>
      </c>
      <c r="I18" s="136">
        <v>243.74</v>
      </c>
      <c r="J18" s="97"/>
      <c r="K18" t="str">
        <f>IF(A18&gt;0,VLOOKUP(A18,טבלאות!$J:$K,2,0),"")</f>
        <v>אשראי מיכה</v>
      </c>
      <c r="L18" s="50" t="str">
        <f>IF(ISERROR(VLOOKUP(B18,טבלאות!$G:$H,2,0)),"",VLOOKUP(B18,טבלאות!$G:$H,2,0))</f>
        <v>רכב ותחבורה</v>
      </c>
      <c r="M18" s="51">
        <f t="shared" si="0"/>
        <v>243.74</v>
      </c>
    </row>
    <row r="19" spans="1:13">
      <c r="A19" s="135" t="s">
        <v>1355</v>
      </c>
      <c r="B19" s="135" t="s">
        <v>649</v>
      </c>
      <c r="C19" s="135" t="s">
        <v>1434</v>
      </c>
      <c r="D19" s="136">
        <v>72</v>
      </c>
      <c r="E19" s="135" t="s">
        <v>1367</v>
      </c>
      <c r="F19" s="135" t="s">
        <v>1368</v>
      </c>
      <c r="G19" s="135" t="s">
        <v>1369</v>
      </c>
      <c r="H19" s="135" t="s">
        <v>1426</v>
      </c>
      <c r="I19" s="136">
        <v>72</v>
      </c>
      <c r="J19" s="97"/>
      <c r="K19" t="str">
        <f>IF(A19&gt;0,VLOOKUP(A19,טבלאות!$J:$K,2,0),"")</f>
        <v>אשראי מיכה</v>
      </c>
      <c r="L19" s="50" t="str">
        <f>IF(ISERROR(VLOOKUP(B19,טבלאות!$G:$H,2,0)),"",VLOOKUP(B19,טבלאות!$G:$H,2,0))</f>
        <v>מזון ומשקאות</v>
      </c>
      <c r="M19" s="51">
        <f t="shared" si="0"/>
        <v>72</v>
      </c>
    </row>
    <row r="20" spans="1:13">
      <c r="A20" s="135" t="s">
        <v>1355</v>
      </c>
      <c r="B20" s="135" t="s">
        <v>966</v>
      </c>
      <c r="C20" s="135" t="s">
        <v>1434</v>
      </c>
      <c r="D20" s="136">
        <v>799.82</v>
      </c>
      <c r="E20" s="135" t="s">
        <v>1367</v>
      </c>
      <c r="F20" s="135" t="s">
        <v>1368</v>
      </c>
      <c r="G20" s="135" t="s">
        <v>1369</v>
      </c>
      <c r="H20" s="135" t="s">
        <v>1426</v>
      </c>
      <c r="I20" s="136">
        <v>799.82</v>
      </c>
      <c r="J20" s="97"/>
      <c r="K20" t="str">
        <f>IF(A20&gt;0,VLOOKUP(A20,טבלאות!$J:$K,2,0),"")</f>
        <v>אשראי מיכה</v>
      </c>
      <c r="L20" s="50" t="str">
        <f>IF(ISERROR(VLOOKUP(B20,טבלאות!$G:$H,2,0)),"",VLOOKUP(B20,טבלאות!$G:$H,2,0))</f>
        <v>מזון ומשקאות</v>
      </c>
      <c r="M20" s="51">
        <f t="shared" si="0"/>
        <v>799.82</v>
      </c>
    </row>
    <row r="21" spans="1:13">
      <c r="A21" s="135" t="s">
        <v>764</v>
      </c>
      <c r="B21" s="135" t="s">
        <v>581</v>
      </c>
      <c r="C21" s="135" t="s">
        <v>1435</v>
      </c>
      <c r="D21" s="136">
        <v>100</v>
      </c>
      <c r="E21" s="135" t="s">
        <v>1367</v>
      </c>
      <c r="F21" s="135" t="s">
        <v>1368</v>
      </c>
      <c r="G21" s="135" t="s">
        <v>1427</v>
      </c>
      <c r="H21" s="135" t="s">
        <v>1426</v>
      </c>
      <c r="I21" s="136">
        <v>100</v>
      </c>
      <c r="J21" s="97"/>
      <c r="K21" t="str">
        <f>IF(A21&gt;0,VLOOKUP(A21,טבלאות!$J:$K,2,0),"")</f>
        <v>אשראי אורנה</v>
      </c>
      <c r="L21" s="50" t="str">
        <f>IF(ISERROR(VLOOKUP(B21,טבלאות!$G:$H,2,0)),"",VLOOKUP(B21,טבלאות!$G:$H,2,0))</f>
        <v>חוגים</v>
      </c>
      <c r="M21" s="51">
        <f t="shared" si="0"/>
        <v>100</v>
      </c>
    </row>
    <row r="22" spans="1:13">
      <c r="A22" s="135" t="s">
        <v>764</v>
      </c>
      <c r="B22" s="135" t="s">
        <v>1436</v>
      </c>
      <c r="C22" s="135" t="s">
        <v>1435</v>
      </c>
      <c r="D22" s="136">
        <v>20</v>
      </c>
      <c r="E22" s="135" t="s">
        <v>1367</v>
      </c>
      <c r="F22" s="135" t="s">
        <v>1368</v>
      </c>
      <c r="G22" s="135" t="s">
        <v>1369</v>
      </c>
      <c r="H22" s="135" t="s">
        <v>1426</v>
      </c>
      <c r="I22" s="136">
        <v>20</v>
      </c>
      <c r="J22" s="97"/>
      <c r="K22" t="str">
        <f>IF(A22&gt;0,VLOOKUP(A22,טבלאות!$J:$K,2,0),"")</f>
        <v>אשראי אורנה</v>
      </c>
      <c r="L22" s="50" t="s">
        <v>22</v>
      </c>
      <c r="M22" s="51">
        <f t="shared" si="0"/>
        <v>20</v>
      </c>
    </row>
    <row r="23" spans="1:13">
      <c r="A23" s="135" t="s">
        <v>764</v>
      </c>
      <c r="B23" s="135" t="s">
        <v>1098</v>
      </c>
      <c r="C23" s="135" t="s">
        <v>1435</v>
      </c>
      <c r="D23" s="136">
        <v>56.93</v>
      </c>
      <c r="E23" s="135" t="s">
        <v>1367</v>
      </c>
      <c r="F23" s="135" t="s">
        <v>1368</v>
      </c>
      <c r="G23" s="135" t="s">
        <v>1375</v>
      </c>
      <c r="H23" s="135" t="s">
        <v>1426</v>
      </c>
      <c r="I23" s="136">
        <v>56.93</v>
      </c>
      <c r="J23" s="97"/>
      <c r="K23" t="str">
        <f>IF(A23&gt;0,VLOOKUP(A23,טבלאות!$J:$K,2,0),"")</f>
        <v>אשראי אורנה</v>
      </c>
      <c r="L23" s="50" t="str">
        <f>IF(ISERROR(VLOOKUP(B23,טבלאות!$G:$H,2,0)),"",VLOOKUP(B23,טבלאות!$G:$H,2,0))</f>
        <v>ביטוח</v>
      </c>
      <c r="M23" s="51">
        <f t="shared" si="0"/>
        <v>56.93</v>
      </c>
    </row>
    <row r="24" spans="1:13">
      <c r="A24" s="135" t="s">
        <v>764</v>
      </c>
      <c r="B24" s="135" t="s">
        <v>1101</v>
      </c>
      <c r="C24" s="135" t="s">
        <v>1435</v>
      </c>
      <c r="D24" s="136">
        <v>105.42</v>
      </c>
      <c r="E24" s="135" t="s">
        <v>1367</v>
      </c>
      <c r="F24" s="135" t="s">
        <v>1368</v>
      </c>
      <c r="G24" s="135" t="s">
        <v>1369</v>
      </c>
      <c r="H24" s="135" t="s">
        <v>1426</v>
      </c>
      <c r="I24" s="136">
        <v>105.42</v>
      </c>
      <c r="J24" s="97"/>
      <c r="K24" t="str">
        <f>IF(A24&gt;0,VLOOKUP(A24,טבלאות!$J:$K,2,0),"")</f>
        <v>אשראי אורנה</v>
      </c>
      <c r="L24" s="50" t="str">
        <f>IF(ISERROR(VLOOKUP(B24,טבלאות!$G:$H,2,0)),"",VLOOKUP(B24,טבלאות!$G:$H,2,0))</f>
        <v>מזון ומשקאות</v>
      </c>
      <c r="M24" s="51">
        <f t="shared" si="0"/>
        <v>105.42</v>
      </c>
    </row>
    <row r="25" spans="1:13">
      <c r="A25" s="135" t="s">
        <v>1355</v>
      </c>
      <c r="B25" s="135" t="s">
        <v>1437</v>
      </c>
      <c r="C25" s="135" t="s">
        <v>1438</v>
      </c>
      <c r="D25" s="136">
        <v>295.5</v>
      </c>
      <c r="E25" s="135" t="s">
        <v>1367</v>
      </c>
      <c r="F25" s="135" t="s">
        <v>1372</v>
      </c>
      <c r="G25" s="135" t="s">
        <v>1417</v>
      </c>
      <c r="H25" s="135" t="s">
        <v>1426</v>
      </c>
      <c r="I25" s="136">
        <v>295.5</v>
      </c>
      <c r="J25" s="97"/>
      <c r="K25" t="str">
        <f>IF(A25&gt;0,VLOOKUP(A25,טבלאות!$J:$K,2,0),"")</f>
        <v>אשראי מיכה</v>
      </c>
      <c r="L25" s="50" t="str">
        <f>IF(ISERROR(VLOOKUP(B25,טבלאות!$G:$H,2,0)),"",VLOOKUP(B25,טבלאות!$G:$H,2,0))</f>
        <v>מתנות ומזכרות</v>
      </c>
      <c r="M25" s="51">
        <f t="shared" si="0"/>
        <v>295.5</v>
      </c>
    </row>
    <row r="26" spans="1:13">
      <c r="A26" s="135" t="s">
        <v>1355</v>
      </c>
      <c r="B26" s="135" t="s">
        <v>940</v>
      </c>
      <c r="C26" s="135" t="s">
        <v>1439</v>
      </c>
      <c r="D26" s="136">
        <v>42</v>
      </c>
      <c r="E26" s="135" t="s">
        <v>1367</v>
      </c>
      <c r="F26" s="135" t="s">
        <v>1372</v>
      </c>
      <c r="G26" s="135" t="s">
        <v>1440</v>
      </c>
      <c r="H26" s="135" t="s">
        <v>1426</v>
      </c>
      <c r="I26" s="136">
        <v>42</v>
      </c>
      <c r="J26" s="97"/>
      <c r="K26" t="str">
        <f>IF(A26&gt;0,VLOOKUP(A26,טבלאות!$J:$K,2,0),"")</f>
        <v>אשראי מיכה</v>
      </c>
      <c r="L26" s="50" t="str">
        <f>IF(ISERROR(VLOOKUP(B26,טבלאות!$G:$H,2,0)),"",VLOOKUP(B26,טבלאות!$G:$H,2,0))</f>
        <v>מתנות ומזכרות</v>
      </c>
      <c r="M26" s="51">
        <f t="shared" si="0"/>
        <v>42</v>
      </c>
    </row>
    <row r="27" spans="1:13">
      <c r="A27" s="135" t="s">
        <v>1355</v>
      </c>
      <c r="B27" s="135" t="s">
        <v>518</v>
      </c>
      <c r="C27" s="135" t="s">
        <v>1439</v>
      </c>
      <c r="D27" s="136">
        <v>34.700000000000003</v>
      </c>
      <c r="E27" s="135" t="s">
        <v>1367</v>
      </c>
      <c r="F27" s="135" t="s">
        <v>1368</v>
      </c>
      <c r="G27" s="135" t="s">
        <v>1369</v>
      </c>
      <c r="H27" s="135" t="s">
        <v>1426</v>
      </c>
      <c r="I27" s="136">
        <v>34.700000000000003</v>
      </c>
      <c r="J27" s="97"/>
      <c r="K27" t="str">
        <f>IF(A27&gt;0,VLOOKUP(A27,טבלאות!$J:$K,2,0),"")</f>
        <v>אשראי מיכה</v>
      </c>
      <c r="L27" s="50" t="str">
        <f>IF(ISERROR(VLOOKUP(B27,טבלאות!$G:$H,2,0)),"",VLOOKUP(B27,טבלאות!$G:$H,2,0))</f>
        <v>מזון ומשקאות</v>
      </c>
      <c r="M27" s="51">
        <f t="shared" si="0"/>
        <v>34.700000000000003</v>
      </c>
    </row>
    <row r="28" spans="1:13">
      <c r="A28" s="135" t="s">
        <v>1355</v>
      </c>
      <c r="B28" s="135" t="s">
        <v>76</v>
      </c>
      <c r="C28" s="135" t="s">
        <v>1441</v>
      </c>
      <c r="D28" s="136">
        <v>68.39</v>
      </c>
      <c r="E28" s="135" t="s">
        <v>1367</v>
      </c>
      <c r="F28" s="135" t="s">
        <v>1368</v>
      </c>
      <c r="G28" s="135" t="s">
        <v>1375</v>
      </c>
      <c r="H28" s="135" t="s">
        <v>1426</v>
      </c>
      <c r="I28" s="136">
        <v>68.39</v>
      </c>
      <c r="J28" s="97"/>
      <c r="K28" t="str">
        <f>IF(A28&gt;0,VLOOKUP(A28,טבלאות!$J:$K,2,0),"")</f>
        <v>אשראי מיכה</v>
      </c>
      <c r="L28" s="50" t="str">
        <f>IF(ISERROR(VLOOKUP(B28,טבלאות!$G:$H,2,0)),"",VLOOKUP(B28,טבלאות!$G:$H,2,0))</f>
        <v>בריאות</v>
      </c>
      <c r="M28" s="51">
        <f t="shared" si="0"/>
        <v>68.39</v>
      </c>
    </row>
    <row r="29" spans="1:13">
      <c r="A29" s="135" t="s">
        <v>1355</v>
      </c>
      <c r="B29" s="135" t="s">
        <v>1212</v>
      </c>
      <c r="C29" s="135" t="s">
        <v>1441</v>
      </c>
      <c r="D29" s="136">
        <v>128.24</v>
      </c>
      <c r="E29" s="135" t="s">
        <v>1367</v>
      </c>
      <c r="F29" s="135" t="s">
        <v>1368</v>
      </c>
      <c r="G29" s="135" t="s">
        <v>1375</v>
      </c>
      <c r="H29" s="135" t="s">
        <v>1426</v>
      </c>
      <c r="I29" s="136">
        <v>128.24</v>
      </c>
      <c r="J29" s="97"/>
      <c r="K29" t="str">
        <f>IF(A29&gt;0,VLOOKUP(A29,טבלאות!$J:$K,2,0),"")</f>
        <v>אשראי מיכה</v>
      </c>
      <c r="L29" s="50" t="str">
        <f>IF(ISERROR(VLOOKUP(B29,טבלאות!$G:$H,2,0)),"",VLOOKUP(B29,טבלאות!$G:$H,2,0))</f>
        <v>בריאות</v>
      </c>
      <c r="M29" s="51">
        <f t="shared" si="0"/>
        <v>128.24</v>
      </c>
    </row>
    <row r="30" spans="1:13">
      <c r="A30" s="135" t="s">
        <v>1355</v>
      </c>
      <c r="B30" s="135" t="s">
        <v>966</v>
      </c>
      <c r="C30" s="135" t="s">
        <v>1441</v>
      </c>
      <c r="D30" s="136">
        <v>199.01</v>
      </c>
      <c r="E30" s="135" t="s">
        <v>1367</v>
      </c>
      <c r="F30" s="135" t="s">
        <v>1368</v>
      </c>
      <c r="G30" s="135" t="s">
        <v>1369</v>
      </c>
      <c r="H30" s="135" t="s">
        <v>1426</v>
      </c>
      <c r="I30" s="136">
        <v>199.01</v>
      </c>
      <c r="J30" s="97"/>
      <c r="K30" t="str">
        <f>IF(A30&gt;0,VLOOKUP(A30,טבלאות!$J:$K,2,0),"")</f>
        <v>אשראי מיכה</v>
      </c>
      <c r="L30" s="50" t="str">
        <f>IF(ISERROR(VLOOKUP(B30,טבלאות!$G:$H,2,0)),"",VLOOKUP(B30,טבלאות!$G:$H,2,0))</f>
        <v>מזון ומשקאות</v>
      </c>
      <c r="M30" s="51">
        <f t="shared" si="0"/>
        <v>199.01</v>
      </c>
    </row>
    <row r="31" spans="1:13">
      <c r="A31" s="135" t="s">
        <v>1355</v>
      </c>
      <c r="B31" s="135" t="s">
        <v>1442</v>
      </c>
      <c r="C31" s="135" t="s">
        <v>1441</v>
      </c>
      <c r="D31" s="136">
        <v>19.899999999999999</v>
      </c>
      <c r="E31" s="135" t="s">
        <v>1367</v>
      </c>
      <c r="F31" s="135" t="s">
        <v>1368</v>
      </c>
      <c r="G31" s="135" t="s">
        <v>1369</v>
      </c>
      <c r="H31" s="135" t="s">
        <v>1426</v>
      </c>
      <c r="I31" s="136">
        <v>19.899999999999999</v>
      </c>
      <c r="J31" s="97"/>
      <c r="K31" t="str">
        <f>IF(A31&gt;0,VLOOKUP(A31,טבלאות!$J:$K,2,0),"")</f>
        <v>אשראי מיכה</v>
      </c>
      <c r="L31" s="50" t="str">
        <f>IF(ISERROR(VLOOKUP(B31,טבלאות!$G:$H,2,0)),"",VLOOKUP(B31,טבלאות!$G:$H,2,0))</f>
        <v>נופש</v>
      </c>
      <c r="M31" s="51">
        <f t="shared" si="0"/>
        <v>19.899999999999999</v>
      </c>
    </row>
    <row r="32" spans="1:13">
      <c r="A32" s="135" t="s">
        <v>1355</v>
      </c>
      <c r="B32" s="135" t="s">
        <v>886</v>
      </c>
      <c r="C32" s="135" t="s">
        <v>1441</v>
      </c>
      <c r="D32" s="136">
        <v>57.1</v>
      </c>
      <c r="E32" s="135" t="s">
        <v>1367</v>
      </c>
      <c r="F32" s="135" t="s">
        <v>1368</v>
      </c>
      <c r="G32" s="135" t="s">
        <v>1369</v>
      </c>
      <c r="H32" s="135" t="s">
        <v>1426</v>
      </c>
      <c r="I32" s="136">
        <v>57.1</v>
      </c>
      <c r="J32" s="97"/>
      <c r="K32" t="str">
        <f>IF(A32&gt;0,VLOOKUP(A32,טבלאות!$J:$K,2,0),"")</f>
        <v>אשראי מיכה</v>
      </c>
      <c r="L32" s="50" t="str">
        <f>IF(ISERROR(VLOOKUP(B32,טבלאות!$G:$H,2,0)),"",VLOOKUP(B32,טבלאות!$G:$H,2,0))</f>
        <v>מזון ומשקאות</v>
      </c>
      <c r="M32" s="51">
        <f t="shared" si="0"/>
        <v>57.1</v>
      </c>
    </row>
    <row r="33" spans="1:13">
      <c r="A33" s="135" t="s">
        <v>764</v>
      </c>
      <c r="B33" s="135" t="s">
        <v>1436</v>
      </c>
      <c r="C33" s="135" t="s">
        <v>1441</v>
      </c>
      <c r="D33" s="136">
        <v>20</v>
      </c>
      <c r="E33" s="135" t="s">
        <v>1367</v>
      </c>
      <c r="F33" s="135" t="s">
        <v>1368</v>
      </c>
      <c r="G33" s="135" t="s">
        <v>1369</v>
      </c>
      <c r="H33" s="135" t="s">
        <v>1426</v>
      </c>
      <c r="I33" s="136">
        <v>20</v>
      </c>
      <c r="J33" s="97"/>
      <c r="K33" t="str">
        <f>IF(A33&gt;0,VLOOKUP(A33,טבלאות!$J:$K,2,0),"")</f>
        <v>אשראי אורנה</v>
      </c>
      <c r="L33" s="50" t="s">
        <v>22</v>
      </c>
      <c r="M33" s="51">
        <f t="shared" si="0"/>
        <v>20</v>
      </c>
    </row>
    <row r="34" spans="1:13">
      <c r="A34" s="135" t="s">
        <v>764</v>
      </c>
      <c r="B34" s="135" t="s">
        <v>1436</v>
      </c>
      <c r="C34" s="135" t="s">
        <v>1441</v>
      </c>
      <c r="D34" s="136">
        <v>20</v>
      </c>
      <c r="E34" s="135" t="s">
        <v>1367</v>
      </c>
      <c r="F34" s="135" t="s">
        <v>1368</v>
      </c>
      <c r="G34" s="135" t="s">
        <v>1369</v>
      </c>
      <c r="H34" s="135" t="s">
        <v>1426</v>
      </c>
      <c r="I34" s="136">
        <v>20</v>
      </c>
      <c r="J34" s="97"/>
      <c r="K34" t="str">
        <f>IF(A34&gt;0,VLOOKUP(A34,טבלאות!$J:$K,2,0),"")</f>
        <v>אשראי אורנה</v>
      </c>
      <c r="L34" s="50" t="s">
        <v>22</v>
      </c>
      <c r="M34" s="51">
        <f t="shared" si="0"/>
        <v>20</v>
      </c>
    </row>
    <row r="35" spans="1:13">
      <c r="A35" s="135" t="s">
        <v>1355</v>
      </c>
      <c r="B35" s="135" t="s">
        <v>1443</v>
      </c>
      <c r="C35" s="135" t="s">
        <v>1444</v>
      </c>
      <c r="D35" s="136">
        <v>110</v>
      </c>
      <c r="E35" s="135" t="s">
        <v>1367</v>
      </c>
      <c r="F35" s="135" t="s">
        <v>1368</v>
      </c>
      <c r="G35" s="135" t="s">
        <v>1369</v>
      </c>
      <c r="H35" s="135" t="s">
        <v>1426</v>
      </c>
      <c r="I35" s="136">
        <v>110</v>
      </c>
      <c r="J35" s="97"/>
      <c r="K35" t="str">
        <f>IF(A35&gt;0,VLOOKUP(A35,טבלאות!$J:$K,2,0),"")</f>
        <v>אשראי מיכה</v>
      </c>
      <c r="L35" s="50" t="str">
        <f>IF(ISERROR(VLOOKUP(B35,טבלאות!$G:$H,2,0)),"",VLOOKUP(B35,טבלאות!$G:$H,2,0))</f>
        <v>נופש</v>
      </c>
      <c r="M35" s="51">
        <f t="shared" si="0"/>
        <v>110</v>
      </c>
    </row>
    <row r="36" spans="1:13">
      <c r="A36" s="135" t="s">
        <v>1355</v>
      </c>
      <c r="B36" s="135" t="s">
        <v>1443</v>
      </c>
      <c r="C36" s="135" t="s">
        <v>1444</v>
      </c>
      <c r="D36" s="136">
        <v>110</v>
      </c>
      <c r="E36" s="135" t="s">
        <v>1367</v>
      </c>
      <c r="F36" s="135" t="s">
        <v>1368</v>
      </c>
      <c r="G36" s="135" t="s">
        <v>1369</v>
      </c>
      <c r="H36" s="135" t="s">
        <v>1426</v>
      </c>
      <c r="I36" s="136">
        <v>110</v>
      </c>
      <c r="J36" s="97"/>
      <c r="K36" t="str">
        <f>IF(A36&gt;0,VLOOKUP(A36,טבלאות!$J:$K,2,0),"")</f>
        <v>אשראי מיכה</v>
      </c>
      <c r="L36" s="50" t="str">
        <f>IF(ISERROR(VLOOKUP(B36,טבלאות!$G:$H,2,0)),"",VLOOKUP(B36,טבלאות!$G:$H,2,0))</f>
        <v>נופש</v>
      </c>
      <c r="M36" s="51">
        <f t="shared" si="0"/>
        <v>110</v>
      </c>
    </row>
    <row r="37" spans="1:13">
      <c r="A37" s="135" t="s">
        <v>1355</v>
      </c>
      <c r="B37" s="135" t="s">
        <v>966</v>
      </c>
      <c r="C37" s="135" t="s">
        <v>1444</v>
      </c>
      <c r="D37" s="136">
        <v>104.64</v>
      </c>
      <c r="E37" s="135" t="s">
        <v>1367</v>
      </c>
      <c r="F37" s="135" t="s">
        <v>1368</v>
      </c>
      <c r="G37" s="135" t="s">
        <v>1369</v>
      </c>
      <c r="H37" s="135" t="s">
        <v>1426</v>
      </c>
      <c r="I37" s="136">
        <v>104.64</v>
      </c>
      <c r="J37" s="97"/>
      <c r="K37" t="str">
        <f>IF(A37&gt;0,VLOOKUP(A37,טבלאות!$J:$K,2,0),"")</f>
        <v>אשראי מיכה</v>
      </c>
      <c r="L37" s="50" t="str">
        <f>IF(ISERROR(VLOOKUP(B37,טבלאות!$G:$H,2,0)),"",VLOOKUP(B37,טבלאות!$G:$H,2,0))</f>
        <v>מזון ומשקאות</v>
      </c>
      <c r="M37" s="51">
        <f t="shared" si="0"/>
        <v>104.64</v>
      </c>
    </row>
    <row r="38" spans="1:13">
      <c r="A38" s="135" t="s">
        <v>764</v>
      </c>
      <c r="B38" s="135" t="s">
        <v>246</v>
      </c>
      <c r="C38" s="135" t="s">
        <v>1444</v>
      </c>
      <c r="D38" s="136">
        <v>260</v>
      </c>
      <c r="E38" s="135" t="s">
        <v>1367</v>
      </c>
      <c r="F38" s="135" t="s">
        <v>1368</v>
      </c>
      <c r="G38" s="135" t="s">
        <v>1386</v>
      </c>
      <c r="H38" s="135" t="s">
        <v>1426</v>
      </c>
      <c r="I38" s="136">
        <v>260</v>
      </c>
      <c r="J38" s="97"/>
      <c r="K38" t="str">
        <f>IF(A38&gt;0,VLOOKUP(A38,טבלאות!$J:$K,2,0),"")</f>
        <v>אשראי אורנה</v>
      </c>
      <c r="L38" s="50" t="str">
        <f>IF(ISERROR(VLOOKUP(B38,טבלאות!$G:$H,2,0)),"",VLOOKUP(B38,טבלאות!$G:$H,2,0))</f>
        <v>חוגים</v>
      </c>
      <c r="M38" s="51">
        <f t="shared" si="0"/>
        <v>260</v>
      </c>
    </row>
    <row r="39" spans="1:13">
      <c r="A39" s="135" t="s">
        <v>1355</v>
      </c>
      <c r="B39" s="135" t="s">
        <v>1216</v>
      </c>
      <c r="C39" s="135" t="s">
        <v>1445</v>
      </c>
      <c r="D39" s="136">
        <v>369.9</v>
      </c>
      <c r="E39" s="135" t="s">
        <v>1367</v>
      </c>
      <c r="F39" s="135" t="s">
        <v>1368</v>
      </c>
      <c r="G39" s="135" t="s">
        <v>1369</v>
      </c>
      <c r="H39" s="135" t="s">
        <v>1426</v>
      </c>
      <c r="I39" s="136">
        <v>369.9</v>
      </c>
      <c r="J39" s="97"/>
      <c r="K39" t="str">
        <f>IF(A39&gt;0,VLOOKUP(A39,טבלאות!$J:$K,2,0),"")</f>
        <v>אשראי מיכה</v>
      </c>
      <c r="L39" s="50" t="str">
        <f>IF(ISERROR(VLOOKUP(B39,טבלאות!$G:$H,2,0)),"",VLOOKUP(B39,טבלאות!$G:$H,2,0))</f>
        <v>מתנות ומזכרות</v>
      </c>
      <c r="M39" s="51">
        <f t="shared" si="0"/>
        <v>369.9</v>
      </c>
    </row>
    <row r="40" spans="1:13">
      <c r="A40" s="135" t="s">
        <v>1355</v>
      </c>
      <c r="B40" s="135" t="s">
        <v>649</v>
      </c>
      <c r="C40" s="135" t="s">
        <v>1445</v>
      </c>
      <c r="D40" s="136">
        <v>72</v>
      </c>
      <c r="E40" s="135" t="s">
        <v>1367</v>
      </c>
      <c r="F40" s="135" t="s">
        <v>1368</v>
      </c>
      <c r="G40" s="135" t="s">
        <v>1369</v>
      </c>
      <c r="H40" s="135" t="s">
        <v>1426</v>
      </c>
      <c r="I40" s="136">
        <v>72</v>
      </c>
      <c r="J40" s="97"/>
      <c r="K40" t="str">
        <f>IF(A40&gt;0,VLOOKUP(A40,טבלאות!$J:$K,2,0),"")</f>
        <v>אשראי מיכה</v>
      </c>
      <c r="L40" s="50" t="str">
        <f>IF(ISERROR(VLOOKUP(B40,טבלאות!$G:$H,2,0)),"",VLOOKUP(B40,טבלאות!$G:$H,2,0))</f>
        <v>מזון ומשקאות</v>
      </c>
      <c r="M40" s="51">
        <f t="shared" si="0"/>
        <v>72</v>
      </c>
    </row>
    <row r="41" spans="1:13">
      <c r="A41" s="135" t="s">
        <v>1355</v>
      </c>
      <c r="B41" s="135" t="s">
        <v>966</v>
      </c>
      <c r="C41" s="135" t="s">
        <v>1445</v>
      </c>
      <c r="D41" s="136">
        <v>638.36</v>
      </c>
      <c r="E41" s="135" t="s">
        <v>1367</v>
      </c>
      <c r="F41" s="135" t="s">
        <v>1368</v>
      </c>
      <c r="G41" s="135" t="s">
        <v>1369</v>
      </c>
      <c r="H41" s="135" t="s">
        <v>1426</v>
      </c>
      <c r="I41" s="136">
        <v>638.36</v>
      </c>
      <c r="J41" s="97"/>
      <c r="K41" t="str">
        <f>IF(A41&gt;0,VLOOKUP(A41,טבלאות!$J:$K,2,0),"")</f>
        <v>אשראי מיכה</v>
      </c>
      <c r="L41" s="50" t="str">
        <f>IF(ISERROR(VLOOKUP(B41,טבלאות!$G:$H,2,0)),"",VLOOKUP(B41,טבלאות!$G:$H,2,0))</f>
        <v>מזון ומשקאות</v>
      </c>
      <c r="M41" s="51">
        <f t="shared" si="0"/>
        <v>638.36</v>
      </c>
    </row>
    <row r="42" spans="1:13">
      <c r="A42" s="135" t="s">
        <v>1355</v>
      </c>
      <c r="B42" s="135" t="s">
        <v>846</v>
      </c>
      <c r="C42" s="135" t="s">
        <v>1445</v>
      </c>
      <c r="D42" s="136">
        <v>-150</v>
      </c>
      <c r="E42" s="135" t="s">
        <v>1367</v>
      </c>
      <c r="F42" s="135" t="s">
        <v>1415</v>
      </c>
      <c r="G42" s="135" t="s">
        <v>1369</v>
      </c>
      <c r="H42" s="135" t="s">
        <v>1426</v>
      </c>
      <c r="I42" s="136">
        <v>-150</v>
      </c>
      <c r="J42" s="97"/>
      <c r="K42" t="str">
        <f>IF(A42&gt;0,VLOOKUP(A42,טבלאות!$J:$K,2,0),"")</f>
        <v>אשראי מיכה</v>
      </c>
      <c r="L42" s="50" t="str">
        <f>IF(ISERROR(VLOOKUP(B42,טבלאות!$G:$H,2,0)),"",VLOOKUP(B42,טבלאות!$G:$H,2,0))</f>
        <v>חינוך ומשפחה</v>
      </c>
      <c r="M42" s="51">
        <f t="shared" si="0"/>
        <v>-150</v>
      </c>
    </row>
    <row r="43" spans="1:13">
      <c r="A43" s="135" t="s">
        <v>764</v>
      </c>
      <c r="B43" s="135" t="s">
        <v>741</v>
      </c>
      <c r="C43" s="135" t="s">
        <v>1445</v>
      </c>
      <c r="D43" s="136">
        <v>163.44999999999999</v>
      </c>
      <c r="E43" s="135" t="s">
        <v>1367</v>
      </c>
      <c r="F43" s="135" t="s">
        <v>1368</v>
      </c>
      <c r="G43" s="135" t="s">
        <v>1375</v>
      </c>
      <c r="H43" s="135" t="s">
        <v>1426</v>
      </c>
      <c r="I43" s="136">
        <v>163.44999999999999</v>
      </c>
      <c r="J43" s="97"/>
      <c r="K43" t="str">
        <f>IF(A43&gt;0,VLOOKUP(A43,טבלאות!$J:$K,2,0),"")</f>
        <v>אשראי אורנה</v>
      </c>
      <c r="L43" s="50" t="str">
        <f>IF(ISERROR(VLOOKUP(B43,טבלאות!$G:$H,2,0)),"",VLOOKUP(B43,טבלאות!$G:$H,2,0))</f>
        <v>מוצרי חשמל ותקשורת</v>
      </c>
      <c r="M43" s="51">
        <f t="shared" si="0"/>
        <v>163.44999999999999</v>
      </c>
    </row>
    <row r="44" spans="1:13">
      <c r="A44" s="135" t="s">
        <v>1355</v>
      </c>
      <c r="B44" s="135" t="s">
        <v>1446</v>
      </c>
      <c r="C44" s="135" t="s">
        <v>1447</v>
      </c>
      <c r="D44" s="136">
        <v>71</v>
      </c>
      <c r="E44" s="135" t="s">
        <v>1367</v>
      </c>
      <c r="F44" s="135" t="s">
        <v>1368</v>
      </c>
      <c r="G44" s="135" t="s">
        <v>1369</v>
      </c>
      <c r="H44" s="135" t="s">
        <v>1426</v>
      </c>
      <c r="I44" s="136">
        <v>71</v>
      </c>
      <c r="J44" s="97"/>
      <c r="K44" t="str">
        <f>IF(A44&gt;0,VLOOKUP(A44,טבלאות!$J:$K,2,0),"")</f>
        <v>אשראי מיכה</v>
      </c>
      <c r="L44" s="50" t="str">
        <f>IF(ISERROR(VLOOKUP(B44,טבלאות!$G:$H,2,0)),"",VLOOKUP(B44,טבלאות!$G:$H,2,0))</f>
        <v>בילוי ומסעדות</v>
      </c>
      <c r="M44" s="51">
        <f t="shared" si="0"/>
        <v>71</v>
      </c>
    </row>
    <row r="45" spans="1:13">
      <c r="A45" s="135" t="s">
        <v>1355</v>
      </c>
      <c r="B45" s="135" t="s">
        <v>1448</v>
      </c>
      <c r="C45" s="135" t="s">
        <v>1447</v>
      </c>
      <c r="D45" s="136">
        <v>25.9</v>
      </c>
      <c r="E45" s="135" t="s">
        <v>1367</v>
      </c>
      <c r="F45" s="135" t="s">
        <v>1368</v>
      </c>
      <c r="G45" s="135" t="s">
        <v>1369</v>
      </c>
      <c r="H45" s="135" t="s">
        <v>1426</v>
      </c>
      <c r="I45" s="136">
        <v>25.9</v>
      </c>
      <c r="J45" s="97"/>
      <c r="K45" t="str">
        <f>IF(A45&gt;0,VLOOKUP(A45,טבלאות!$J:$K,2,0),"")</f>
        <v>אשראי מיכה</v>
      </c>
      <c r="L45" s="50" t="str">
        <f>IF(ISERROR(VLOOKUP(B45,טבלאות!$G:$H,2,0)),"",VLOOKUP(B45,טבלאות!$G:$H,2,0))</f>
        <v>מזון ומשקאות</v>
      </c>
      <c r="M45" s="51">
        <f t="shared" si="0"/>
        <v>25.9</v>
      </c>
    </row>
    <row r="46" spans="1:13">
      <c r="A46" s="135" t="s">
        <v>1355</v>
      </c>
      <c r="B46" s="135" t="s">
        <v>1173</v>
      </c>
      <c r="C46" s="135" t="s">
        <v>1449</v>
      </c>
      <c r="D46" s="136">
        <v>64.73</v>
      </c>
      <c r="E46" s="135" t="s">
        <v>1367</v>
      </c>
      <c r="F46" s="135" t="s">
        <v>1372</v>
      </c>
      <c r="G46" s="135" t="s">
        <v>1396</v>
      </c>
      <c r="H46" s="135" t="s">
        <v>1426</v>
      </c>
      <c r="I46" s="136">
        <v>64.73</v>
      </c>
      <c r="J46" s="97"/>
      <c r="K46" t="str">
        <f>IF(A46&gt;0,VLOOKUP(A46,טבלאות!$J:$K,2,0),"")</f>
        <v>אשראי מיכה</v>
      </c>
      <c r="L46" s="50" t="str">
        <f>IF(ISERROR(VLOOKUP(B46,טבלאות!$G:$H,2,0)),"",VLOOKUP(B46,טבלאות!$G:$H,2,0))</f>
        <v>בית וגן</v>
      </c>
      <c r="M46" s="51">
        <f t="shared" si="0"/>
        <v>64.73</v>
      </c>
    </row>
    <row r="47" spans="1:13">
      <c r="A47" s="135" t="s">
        <v>1355</v>
      </c>
      <c r="B47" s="135" t="s">
        <v>541</v>
      </c>
      <c r="C47" s="135" t="s">
        <v>1449</v>
      </c>
      <c r="D47" s="136">
        <v>90</v>
      </c>
      <c r="E47" s="135" t="s">
        <v>1367</v>
      </c>
      <c r="F47" s="135" t="s">
        <v>1368</v>
      </c>
      <c r="G47" s="135" t="s">
        <v>1369</v>
      </c>
      <c r="H47" s="135" t="s">
        <v>1426</v>
      </c>
      <c r="I47" s="136">
        <v>90</v>
      </c>
      <c r="J47" s="97"/>
      <c r="K47" t="str">
        <f>IF(A47&gt;0,VLOOKUP(A47,טבלאות!$J:$K,2,0),"")</f>
        <v>אשראי מיכה</v>
      </c>
      <c r="L47" s="50" t="str">
        <f>IF(ISERROR(VLOOKUP(B47,טבלאות!$G:$H,2,0)),"",VLOOKUP(B47,טבלאות!$G:$H,2,0))</f>
        <v>רכב ותחבורה</v>
      </c>
      <c r="M47" s="51">
        <f t="shared" si="0"/>
        <v>90</v>
      </c>
    </row>
    <row r="48" spans="1:13">
      <c r="A48" s="135" t="s">
        <v>1355</v>
      </c>
      <c r="B48" s="135" t="s">
        <v>1450</v>
      </c>
      <c r="C48" s="135" t="s">
        <v>1449</v>
      </c>
      <c r="D48" s="136">
        <v>15.9</v>
      </c>
      <c r="E48" s="135" t="s">
        <v>1367</v>
      </c>
      <c r="F48" s="135" t="s">
        <v>1368</v>
      </c>
      <c r="G48" s="135" t="s">
        <v>1369</v>
      </c>
      <c r="H48" s="135" t="s">
        <v>1426</v>
      </c>
      <c r="I48" s="136">
        <v>15.9</v>
      </c>
      <c r="J48" s="97"/>
      <c r="K48" t="str">
        <f>IF(A48&gt;0,VLOOKUP(A48,טבלאות!$J:$K,2,0),"")</f>
        <v>אשראי מיכה</v>
      </c>
      <c r="L48" s="50" t="str">
        <f>IF(ISERROR(VLOOKUP(B48,טבלאות!$G:$H,2,0)),"",VLOOKUP(B48,טבלאות!$G:$H,2,0))</f>
        <v>מזון ומשקאות</v>
      </c>
      <c r="M48" s="51">
        <f t="shared" si="0"/>
        <v>15.9</v>
      </c>
    </row>
    <row r="49" spans="1:13">
      <c r="A49" s="135" t="s">
        <v>764</v>
      </c>
      <c r="B49" s="135" t="s">
        <v>581</v>
      </c>
      <c r="C49" s="135" t="s">
        <v>1449</v>
      </c>
      <c r="D49" s="136">
        <v>100</v>
      </c>
      <c r="E49" s="135" t="s">
        <v>1367</v>
      </c>
      <c r="F49" s="135" t="s">
        <v>1368</v>
      </c>
      <c r="G49" s="135" t="s">
        <v>1427</v>
      </c>
      <c r="H49" s="135" t="s">
        <v>1426</v>
      </c>
      <c r="I49" s="136">
        <v>100</v>
      </c>
      <c r="J49" s="97"/>
      <c r="K49" t="str">
        <f>IF(A49&gt;0,VLOOKUP(A49,טבלאות!$J:$K,2,0),"")</f>
        <v>אשראי אורנה</v>
      </c>
      <c r="L49" s="50" t="str">
        <f>IF(ISERROR(VLOOKUP(B49,טבלאות!$G:$H,2,0)),"",VLOOKUP(B49,טבלאות!$G:$H,2,0))</f>
        <v>חוגים</v>
      </c>
      <c r="M49" s="51">
        <f t="shared" si="0"/>
        <v>100</v>
      </c>
    </row>
    <row r="50" spans="1:13">
      <c r="A50" s="135" t="s">
        <v>1355</v>
      </c>
      <c r="B50" s="135" t="s">
        <v>638</v>
      </c>
      <c r="C50" s="135" t="s">
        <v>1451</v>
      </c>
      <c r="D50" s="136">
        <v>27.67</v>
      </c>
      <c r="E50" s="135" t="s">
        <v>1367</v>
      </c>
      <c r="F50" s="135" t="s">
        <v>1368</v>
      </c>
      <c r="G50" s="135" t="s">
        <v>1369</v>
      </c>
      <c r="H50" s="135" t="s">
        <v>1426</v>
      </c>
      <c r="I50" s="136">
        <v>27.67</v>
      </c>
      <c r="J50" s="97"/>
      <c r="K50" t="str">
        <f>IF(A50&gt;0,VLOOKUP(A50,טבלאות!$J:$K,2,0),"")</f>
        <v>אשראי מיכה</v>
      </c>
      <c r="L50" s="50" t="str">
        <f>IF(ISERROR(VLOOKUP(B50,טבלאות!$G:$H,2,0)),"",VLOOKUP(B50,טבלאות!$G:$H,2,0))</f>
        <v>מזון ומשקאות</v>
      </c>
      <c r="M50" s="51">
        <f t="shared" si="0"/>
        <v>27.67</v>
      </c>
    </row>
    <row r="51" spans="1:13">
      <c r="A51" s="135" t="s">
        <v>1355</v>
      </c>
      <c r="B51" s="135" t="s">
        <v>886</v>
      </c>
      <c r="C51" s="135" t="s">
        <v>1451</v>
      </c>
      <c r="D51" s="136">
        <v>26.57</v>
      </c>
      <c r="E51" s="135" t="s">
        <v>1367</v>
      </c>
      <c r="F51" s="135" t="s">
        <v>1368</v>
      </c>
      <c r="G51" s="135" t="s">
        <v>1369</v>
      </c>
      <c r="H51" s="135" t="s">
        <v>1426</v>
      </c>
      <c r="I51" s="136">
        <v>26.57</v>
      </c>
      <c r="J51" s="97"/>
      <c r="K51" t="str">
        <f>IF(A51&gt;0,VLOOKUP(A51,טבלאות!$J:$K,2,0),"")</f>
        <v>אשראי מיכה</v>
      </c>
      <c r="L51" s="50" t="str">
        <f>IF(ISERROR(VLOOKUP(B51,טבלאות!$G:$H,2,0)),"",VLOOKUP(B51,טבלאות!$G:$H,2,0))</f>
        <v>מזון ומשקאות</v>
      </c>
      <c r="M51" s="51">
        <f t="shared" si="0"/>
        <v>26.57</v>
      </c>
    </row>
    <row r="52" spans="1:13">
      <c r="A52" s="135" t="s">
        <v>1355</v>
      </c>
      <c r="B52" s="135" t="s">
        <v>518</v>
      </c>
      <c r="C52" s="135" t="s">
        <v>1452</v>
      </c>
      <c r="D52" s="136">
        <v>130.55000000000001</v>
      </c>
      <c r="E52" s="135" t="s">
        <v>1367</v>
      </c>
      <c r="F52" s="135" t="s">
        <v>1368</v>
      </c>
      <c r="G52" s="135" t="s">
        <v>1369</v>
      </c>
      <c r="H52" s="135" t="s">
        <v>1426</v>
      </c>
      <c r="I52" s="136">
        <v>130.55000000000001</v>
      </c>
      <c r="J52" s="97"/>
      <c r="K52" t="str">
        <f>IF(A52&gt;0,VLOOKUP(A52,טבלאות!$J:$K,2,0),"")</f>
        <v>אשראי מיכה</v>
      </c>
      <c r="L52" s="50" t="str">
        <f>IF(ISERROR(VLOOKUP(B52,טבלאות!$G:$H,2,0)),"",VLOOKUP(B52,טבלאות!$G:$H,2,0))</f>
        <v>מזון ומשקאות</v>
      </c>
      <c r="M52" s="51">
        <f t="shared" si="0"/>
        <v>130.55000000000001</v>
      </c>
    </row>
    <row r="53" spans="1:13">
      <c r="A53" s="135" t="s">
        <v>1355</v>
      </c>
      <c r="B53" s="135" t="s">
        <v>1250</v>
      </c>
      <c r="C53" s="135" t="s">
        <v>1452</v>
      </c>
      <c r="D53" s="136">
        <v>40</v>
      </c>
      <c r="E53" s="135" t="s">
        <v>1367</v>
      </c>
      <c r="F53" s="135" t="s">
        <v>1368</v>
      </c>
      <c r="G53" s="135" t="s">
        <v>1369</v>
      </c>
      <c r="H53" s="135" t="s">
        <v>1426</v>
      </c>
      <c r="I53" s="136">
        <v>40</v>
      </c>
      <c r="J53" s="97"/>
      <c r="K53" t="str">
        <f>IF(A53&gt;0,VLOOKUP(A53,טבלאות!$J:$K,2,0),"")</f>
        <v>אשראי מיכה</v>
      </c>
      <c r="L53" s="50" t="str">
        <f>IF(ISERROR(VLOOKUP(B53,טבלאות!$G:$H,2,0)),"",VLOOKUP(B53,טבלאות!$G:$H,2,0))</f>
        <v>בית וגן</v>
      </c>
      <c r="M53" s="51">
        <f t="shared" si="0"/>
        <v>40</v>
      </c>
    </row>
    <row r="54" spans="1:13">
      <c r="A54" s="135" t="s">
        <v>1355</v>
      </c>
      <c r="B54" s="135" t="s">
        <v>649</v>
      </c>
      <c r="C54" s="135" t="s">
        <v>1453</v>
      </c>
      <c r="D54" s="136">
        <v>72</v>
      </c>
      <c r="E54" s="135" t="s">
        <v>1367</v>
      </c>
      <c r="F54" s="135" t="s">
        <v>1368</v>
      </c>
      <c r="G54" s="135" t="s">
        <v>1369</v>
      </c>
      <c r="H54" s="135" t="s">
        <v>1426</v>
      </c>
      <c r="I54" s="136">
        <v>72</v>
      </c>
      <c r="J54" s="97"/>
      <c r="K54" t="str">
        <f>IF(A54&gt;0,VLOOKUP(A54,טבלאות!$J:$K,2,0),"")</f>
        <v>אשראי מיכה</v>
      </c>
      <c r="L54" s="50" t="str">
        <f>IF(ISERROR(VLOOKUP(B54,טבלאות!$G:$H,2,0)),"",VLOOKUP(B54,טבלאות!$G:$H,2,0))</f>
        <v>מזון ומשקאות</v>
      </c>
      <c r="M54" s="51">
        <f t="shared" si="0"/>
        <v>72</v>
      </c>
    </row>
    <row r="55" spans="1:13">
      <c r="A55" s="135" t="s">
        <v>1355</v>
      </c>
      <c r="B55" s="135" t="s">
        <v>73</v>
      </c>
      <c r="C55" s="135" t="s">
        <v>1453</v>
      </c>
      <c r="D55" s="136">
        <v>268.89999999999998</v>
      </c>
      <c r="E55" s="135" t="s">
        <v>1367</v>
      </c>
      <c r="F55" s="135" t="s">
        <v>1368</v>
      </c>
      <c r="G55" s="135" t="s">
        <v>1369</v>
      </c>
      <c r="H55" s="135" t="s">
        <v>1426</v>
      </c>
      <c r="I55" s="136">
        <v>268.89999999999998</v>
      </c>
      <c r="J55" s="97"/>
      <c r="K55" t="str">
        <f>IF(A55&gt;0,VLOOKUP(A55,טבלאות!$J:$K,2,0),"")</f>
        <v>אשראי מיכה</v>
      </c>
      <c r="L55" s="50" t="str">
        <f>IF(ISERROR(VLOOKUP(B55,טבלאות!$G:$H,2,0)),"",VLOOKUP(B55,טבלאות!$G:$H,2,0))</f>
        <v>ביגוד והנעלה</v>
      </c>
      <c r="M55" s="51">
        <f t="shared" si="0"/>
        <v>268.89999999999998</v>
      </c>
    </row>
    <row r="56" spans="1:13">
      <c r="A56" s="135" t="s">
        <v>1355</v>
      </c>
      <c r="B56" s="135" t="s">
        <v>73</v>
      </c>
      <c r="C56" s="135" t="s">
        <v>1453</v>
      </c>
      <c r="D56" s="136">
        <v>403.87</v>
      </c>
      <c r="E56" s="135" t="s">
        <v>1367</v>
      </c>
      <c r="F56" s="135" t="s">
        <v>1368</v>
      </c>
      <c r="G56" s="135" t="s">
        <v>1369</v>
      </c>
      <c r="H56" s="135" t="s">
        <v>1426</v>
      </c>
      <c r="I56" s="136">
        <v>403.87</v>
      </c>
      <c r="J56" s="97"/>
      <c r="K56" t="str">
        <f>IF(A56&gt;0,VLOOKUP(A56,טבלאות!$J:$K,2,0),"")</f>
        <v>אשראי מיכה</v>
      </c>
      <c r="L56" s="50" t="str">
        <f>IF(ISERROR(VLOOKUP(B56,טבלאות!$G:$H,2,0)),"",VLOOKUP(B56,טבלאות!$G:$H,2,0))</f>
        <v>ביגוד והנעלה</v>
      </c>
      <c r="M56" s="51">
        <f t="shared" si="0"/>
        <v>403.87</v>
      </c>
    </row>
    <row r="57" spans="1:13">
      <c r="A57" s="135" t="s">
        <v>1355</v>
      </c>
      <c r="B57" s="135" t="s">
        <v>73</v>
      </c>
      <c r="C57" s="135" t="s">
        <v>1453</v>
      </c>
      <c r="D57" s="136">
        <v>348.95</v>
      </c>
      <c r="E57" s="135" t="s">
        <v>1367</v>
      </c>
      <c r="F57" s="135" t="s">
        <v>1368</v>
      </c>
      <c r="G57" s="135" t="s">
        <v>1369</v>
      </c>
      <c r="H57" s="135" t="s">
        <v>1426</v>
      </c>
      <c r="I57" s="136">
        <v>348.95</v>
      </c>
      <c r="J57" s="97"/>
      <c r="K57" t="str">
        <f>IF(A57&gt;0,VLOOKUP(A57,טבלאות!$J:$K,2,0),"")</f>
        <v>אשראי מיכה</v>
      </c>
      <c r="L57" s="50" t="str">
        <f>IF(ISERROR(VLOOKUP(B57,טבלאות!$G:$H,2,0)),"",VLOOKUP(B57,טבלאות!$G:$H,2,0))</f>
        <v>ביגוד והנעלה</v>
      </c>
      <c r="M57" s="51">
        <f t="shared" si="0"/>
        <v>348.95</v>
      </c>
    </row>
    <row r="58" spans="1:13">
      <c r="A58" s="135" t="s">
        <v>764</v>
      </c>
      <c r="B58" s="135" t="s">
        <v>924</v>
      </c>
      <c r="C58" s="135" t="s">
        <v>1453</v>
      </c>
      <c r="D58" s="136">
        <v>350</v>
      </c>
      <c r="E58" s="135" t="s">
        <v>1367</v>
      </c>
      <c r="F58" s="135" t="s">
        <v>1368</v>
      </c>
      <c r="G58" s="135" t="s">
        <v>1369</v>
      </c>
      <c r="H58" s="135" t="s">
        <v>1426</v>
      </c>
      <c r="I58" s="136">
        <v>350</v>
      </c>
      <c r="J58" s="97"/>
      <c r="K58" t="str">
        <f>IF(A58&gt;0,VLOOKUP(A58,טבלאות!$J:$K,2,0),"")</f>
        <v>אשראי אורנה</v>
      </c>
      <c r="L58" s="50" t="str">
        <f>IF(ISERROR(VLOOKUP(B58,טבלאות!$G:$H,2,0)),"",VLOOKUP(B58,טבלאות!$G:$H,2,0))</f>
        <v>בית וגן</v>
      </c>
      <c r="M58" s="51">
        <f t="shared" si="0"/>
        <v>350</v>
      </c>
    </row>
    <row r="59" spans="1:13">
      <c r="A59" s="135" t="s">
        <v>764</v>
      </c>
      <c r="B59" s="135" t="s">
        <v>73</v>
      </c>
      <c r="C59" s="135" t="s">
        <v>1453</v>
      </c>
      <c r="D59" s="136">
        <v>228.88</v>
      </c>
      <c r="E59" s="135" t="s">
        <v>1367</v>
      </c>
      <c r="F59" s="135" t="s">
        <v>1368</v>
      </c>
      <c r="G59" s="135" t="s">
        <v>1369</v>
      </c>
      <c r="H59" s="135" t="s">
        <v>1426</v>
      </c>
      <c r="I59" s="136">
        <v>228.88</v>
      </c>
      <c r="J59" s="97"/>
      <c r="K59" t="str">
        <f>IF(A59&gt;0,VLOOKUP(A59,טבלאות!$J:$K,2,0),"")</f>
        <v>אשראי אורנה</v>
      </c>
      <c r="L59" s="50" t="str">
        <f>IF(ISERROR(VLOOKUP(B59,טבלאות!$G:$H,2,0)),"",VLOOKUP(B59,טבלאות!$G:$H,2,0))</f>
        <v>ביגוד והנעלה</v>
      </c>
      <c r="M59" s="51">
        <f t="shared" si="0"/>
        <v>228.88</v>
      </c>
    </row>
    <row r="60" spans="1:13">
      <c r="A60" s="135" t="s">
        <v>1355</v>
      </c>
      <c r="B60" s="135" t="s">
        <v>846</v>
      </c>
      <c r="C60" s="135" t="s">
        <v>1454</v>
      </c>
      <c r="D60" s="136">
        <v>150</v>
      </c>
      <c r="E60" s="135" t="s">
        <v>1367</v>
      </c>
      <c r="F60" s="135" t="s">
        <v>1368</v>
      </c>
      <c r="G60" s="135" t="s">
        <v>1369</v>
      </c>
      <c r="H60" s="135" t="s">
        <v>1426</v>
      </c>
      <c r="I60" s="136">
        <v>150</v>
      </c>
      <c r="J60" s="97"/>
      <c r="K60" t="str">
        <f>IF(A60&gt;0,VLOOKUP(A60,טבלאות!$J:$K,2,0),"")</f>
        <v>אשראי מיכה</v>
      </c>
      <c r="L60" s="50" t="str">
        <f>IF(ISERROR(VLOOKUP(B60,טבלאות!$G:$H,2,0)),"",VLOOKUP(B60,טבלאות!$G:$H,2,0))</f>
        <v>חינוך ומשפחה</v>
      </c>
      <c r="M60" s="51">
        <f t="shared" si="0"/>
        <v>150</v>
      </c>
    </row>
    <row r="61" spans="1:13">
      <c r="A61" s="135" t="s">
        <v>764</v>
      </c>
      <c r="B61" s="135" t="s">
        <v>246</v>
      </c>
      <c r="C61" s="135" t="s">
        <v>1454</v>
      </c>
      <c r="D61" s="136">
        <v>260</v>
      </c>
      <c r="E61" s="135" t="s">
        <v>1367</v>
      </c>
      <c r="F61" s="135" t="s">
        <v>1368</v>
      </c>
      <c r="G61" s="135" t="s">
        <v>1386</v>
      </c>
      <c r="H61" s="135" t="s">
        <v>1426</v>
      </c>
      <c r="I61" s="136">
        <v>260</v>
      </c>
      <c r="J61" s="97"/>
      <c r="K61" t="str">
        <f>IF(A61&gt;0,VLOOKUP(A61,טבלאות!$J:$K,2,0),"")</f>
        <v>אשראי אורנה</v>
      </c>
      <c r="L61" s="50" t="str">
        <f>IF(ISERROR(VLOOKUP(B61,טבלאות!$G:$H,2,0)),"",VLOOKUP(B61,טבלאות!$G:$H,2,0))</f>
        <v>חוגים</v>
      </c>
      <c r="M61" s="51">
        <f t="shared" si="0"/>
        <v>260</v>
      </c>
    </row>
    <row r="62" spans="1:13">
      <c r="A62" s="135" t="s">
        <v>1355</v>
      </c>
      <c r="B62" s="135" t="s">
        <v>966</v>
      </c>
      <c r="C62" s="135" t="s">
        <v>1455</v>
      </c>
      <c r="D62" s="136">
        <v>893.77</v>
      </c>
      <c r="E62" s="135" t="s">
        <v>1367</v>
      </c>
      <c r="F62" s="135" t="s">
        <v>1368</v>
      </c>
      <c r="G62" s="135" t="s">
        <v>1369</v>
      </c>
      <c r="H62" s="135" t="s">
        <v>1426</v>
      </c>
      <c r="I62" s="136">
        <v>893.77</v>
      </c>
      <c r="J62" s="97"/>
      <c r="K62" t="str">
        <f>IF(A62&gt;0,VLOOKUP(A62,טבלאות!$J:$K,2,0),"")</f>
        <v>אשראי מיכה</v>
      </c>
      <c r="L62" s="50" t="str">
        <f>IF(ISERROR(VLOOKUP(B62,טבלאות!$G:$H,2,0)),"",VLOOKUP(B62,טבלאות!$G:$H,2,0))</f>
        <v>מזון ומשקאות</v>
      </c>
      <c r="M62" s="51">
        <f t="shared" si="0"/>
        <v>893.77</v>
      </c>
    </row>
    <row r="63" spans="1:13">
      <c r="A63" s="135" t="s">
        <v>764</v>
      </c>
      <c r="B63" s="135" t="s">
        <v>804</v>
      </c>
      <c r="C63" s="135" t="s">
        <v>1455</v>
      </c>
      <c r="D63" s="136">
        <v>729.8</v>
      </c>
      <c r="E63" s="135" t="s">
        <v>1367</v>
      </c>
      <c r="F63" s="135" t="s">
        <v>1368</v>
      </c>
      <c r="G63" s="135" t="s">
        <v>1369</v>
      </c>
      <c r="H63" s="135" t="s">
        <v>1426</v>
      </c>
      <c r="I63" s="136">
        <v>729.8</v>
      </c>
      <c r="J63" s="97"/>
      <c r="K63" t="str">
        <f>IF(A63&gt;0,VLOOKUP(A63,טבלאות!$J:$K,2,0),"")</f>
        <v>אשראי אורנה</v>
      </c>
      <c r="L63" s="50" t="str">
        <f>IF(ISERROR(VLOOKUP(B63,טבלאות!$G:$H,2,0)),"",VLOOKUP(B63,טבלאות!$G:$H,2,0))</f>
        <v>ביגוד והנעלה</v>
      </c>
      <c r="M63" s="51">
        <f t="shared" si="0"/>
        <v>729.8</v>
      </c>
    </row>
    <row r="64" spans="1:13">
      <c r="A64" s="135" t="s">
        <v>764</v>
      </c>
      <c r="B64" s="135" t="s">
        <v>842</v>
      </c>
      <c r="C64" s="135" t="s">
        <v>1456</v>
      </c>
      <c r="D64" s="136">
        <v>600</v>
      </c>
      <c r="E64" s="135" t="s">
        <v>1367</v>
      </c>
      <c r="F64" s="135" t="s">
        <v>1368</v>
      </c>
      <c r="G64" s="135" t="s">
        <v>1369</v>
      </c>
      <c r="H64" s="135" t="s">
        <v>1426</v>
      </c>
      <c r="I64" s="136">
        <v>600</v>
      </c>
      <c r="J64" s="97"/>
      <c r="K64" t="str">
        <f>IF(A64&gt;0,VLOOKUP(A64,טבלאות!$J:$K,2,0),"")</f>
        <v>אשראי אורנה</v>
      </c>
      <c r="L64" s="50" t="str">
        <f>IF(ISERROR(VLOOKUP(B64,טבלאות!$G:$H,2,0)),"",VLOOKUP(B64,טבלאות!$G:$H,2,0))</f>
        <v>בריאות</v>
      </c>
      <c r="M64" s="51">
        <f t="shared" si="0"/>
        <v>600</v>
      </c>
    </row>
    <row r="65" spans="1:13">
      <c r="A65" s="135" t="s">
        <v>1355</v>
      </c>
      <c r="B65" s="135" t="s">
        <v>906</v>
      </c>
      <c r="C65" s="135" t="s">
        <v>1457</v>
      </c>
      <c r="D65" s="136">
        <v>47.7</v>
      </c>
      <c r="E65" s="135" t="s">
        <v>1367</v>
      </c>
      <c r="F65" s="135" t="s">
        <v>1368</v>
      </c>
      <c r="G65" s="135" t="s">
        <v>1369</v>
      </c>
      <c r="H65" s="135" t="s">
        <v>1426</v>
      </c>
      <c r="I65" s="136">
        <v>47.7</v>
      </c>
      <c r="J65" s="97"/>
      <c r="K65" t="str">
        <f>IF(A65&gt;0,VLOOKUP(A65,טבלאות!$J:$K,2,0),"")</f>
        <v>אשראי מיכה</v>
      </c>
      <c r="L65" s="50" t="str">
        <f>IF(ISERROR(VLOOKUP(B65,טבלאות!$G:$H,2,0)),"",VLOOKUP(B65,טבלאות!$G:$H,2,0))</f>
        <v>בית וגן</v>
      </c>
      <c r="M65" s="51">
        <f t="shared" si="0"/>
        <v>47.7</v>
      </c>
    </row>
    <row r="66" spans="1:13">
      <c r="A66" s="135" t="s">
        <v>1355</v>
      </c>
      <c r="B66" s="135" t="s">
        <v>541</v>
      </c>
      <c r="C66" s="135" t="s">
        <v>1457</v>
      </c>
      <c r="D66" s="136">
        <v>90</v>
      </c>
      <c r="E66" s="135" t="s">
        <v>1367</v>
      </c>
      <c r="F66" s="135" t="s">
        <v>1368</v>
      </c>
      <c r="G66" s="135" t="s">
        <v>1369</v>
      </c>
      <c r="H66" s="135" t="s">
        <v>1426</v>
      </c>
      <c r="I66" s="136">
        <v>90</v>
      </c>
      <c r="J66" s="97"/>
      <c r="K66" t="str">
        <f>IF(A66&gt;0,VLOOKUP(A66,טבלאות!$J:$K,2,0),"")</f>
        <v>אשראי מיכה</v>
      </c>
      <c r="L66" s="50" t="str">
        <f>IF(ISERROR(VLOOKUP(B66,טבלאות!$G:$H,2,0)),"",VLOOKUP(B66,טבלאות!$G:$H,2,0))</f>
        <v>רכב ותחבורה</v>
      </c>
      <c r="M66" s="51">
        <f t="shared" ref="M66:M113" si="1">IF(OR(L66="",L66="?"),"",IF(L66&gt;0,I66,""))</f>
        <v>90</v>
      </c>
    </row>
    <row r="67" spans="1:13">
      <c r="A67" s="135" t="s">
        <v>1355</v>
      </c>
      <c r="B67" s="135" t="s">
        <v>886</v>
      </c>
      <c r="C67" s="135" t="s">
        <v>1458</v>
      </c>
      <c r="D67" s="136">
        <v>40</v>
      </c>
      <c r="E67" s="135" t="s">
        <v>1367</v>
      </c>
      <c r="F67" s="135" t="s">
        <v>1368</v>
      </c>
      <c r="G67" s="135" t="s">
        <v>1369</v>
      </c>
      <c r="H67" s="135" t="s">
        <v>1426</v>
      </c>
      <c r="I67" s="136">
        <v>40</v>
      </c>
      <c r="J67" s="97"/>
      <c r="K67" t="str">
        <f>IF(A67&gt;0,VLOOKUP(A67,טבלאות!$J:$K,2,0),"")</f>
        <v>אשראי מיכה</v>
      </c>
      <c r="L67" s="50" t="str">
        <f>IF(ISERROR(VLOOKUP(B67,טבלאות!$G:$H,2,0)),"",VLOOKUP(B67,טבלאות!$G:$H,2,0))</f>
        <v>מזון ומשקאות</v>
      </c>
      <c r="M67" s="51">
        <f t="shared" si="1"/>
        <v>40</v>
      </c>
    </row>
    <row r="68" spans="1:13">
      <c r="A68" s="135" t="s">
        <v>1355</v>
      </c>
      <c r="B68" s="135" t="s">
        <v>638</v>
      </c>
      <c r="C68" s="135" t="s">
        <v>1458</v>
      </c>
      <c r="D68" s="136">
        <v>106</v>
      </c>
      <c r="E68" s="135" t="s">
        <v>1367</v>
      </c>
      <c r="F68" s="135" t="s">
        <v>1368</v>
      </c>
      <c r="G68" s="135" t="s">
        <v>1369</v>
      </c>
      <c r="H68" s="135" t="s">
        <v>1426</v>
      </c>
      <c r="I68" s="136">
        <v>106</v>
      </c>
      <c r="K68" t="str">
        <f>IF(A68&gt;0,VLOOKUP(A68,טבלאות!$J:$K,2,0),"")</f>
        <v>אשראי מיכה</v>
      </c>
      <c r="L68" s="50" t="str">
        <f>IF(ISERROR(VLOOKUP(B68,טבלאות!$G:$H,2,0)),"",VLOOKUP(B68,טבלאות!$G:$H,2,0))</f>
        <v>מזון ומשקאות</v>
      </c>
      <c r="M68" s="51">
        <f t="shared" si="1"/>
        <v>106</v>
      </c>
    </row>
    <row r="69" spans="1:13">
      <c r="A69" s="135" t="s">
        <v>1355</v>
      </c>
      <c r="B69" s="135" t="s">
        <v>518</v>
      </c>
      <c r="C69" s="135" t="s">
        <v>1459</v>
      </c>
      <c r="D69" s="136">
        <v>63.8</v>
      </c>
      <c r="E69" s="135" t="s">
        <v>1367</v>
      </c>
      <c r="F69" s="135" t="s">
        <v>1368</v>
      </c>
      <c r="G69" s="135" t="s">
        <v>1369</v>
      </c>
      <c r="H69" s="135" t="s">
        <v>1426</v>
      </c>
      <c r="I69" s="136">
        <v>63.8</v>
      </c>
      <c r="K69" t="str">
        <f>IF(A69&gt;0,VLOOKUP(A69,טבלאות!$J:$K,2,0),"")</f>
        <v>אשראי מיכה</v>
      </c>
      <c r="L69" s="50" t="str">
        <f>IF(ISERROR(VLOOKUP(B69,טבלאות!$G:$H,2,0)),"",VLOOKUP(B69,טבלאות!$G:$H,2,0))</f>
        <v>מזון ומשקאות</v>
      </c>
      <c r="M69" s="51">
        <f t="shared" si="1"/>
        <v>63.8</v>
      </c>
    </row>
    <row r="70" spans="1:13">
      <c r="A70" s="135" t="s">
        <v>1355</v>
      </c>
      <c r="B70" s="135" t="s">
        <v>638</v>
      </c>
      <c r="C70" s="135" t="s">
        <v>1459</v>
      </c>
      <c r="D70" s="136">
        <v>39.799999999999997</v>
      </c>
      <c r="E70" s="135" t="s">
        <v>1367</v>
      </c>
      <c r="F70" s="135" t="s">
        <v>1368</v>
      </c>
      <c r="G70" s="135" t="s">
        <v>1369</v>
      </c>
      <c r="H70" s="135" t="s">
        <v>1426</v>
      </c>
      <c r="I70" s="136">
        <v>39.799999999999997</v>
      </c>
      <c r="K70" t="str">
        <f>IF(A70&gt;0,VLOOKUP(A70,טבלאות!$J:$K,2,0),"")</f>
        <v>אשראי מיכה</v>
      </c>
      <c r="L70" s="50" t="str">
        <f>IF(ISERROR(VLOOKUP(B70,טבלאות!$G:$H,2,0)),"",VLOOKUP(B70,טבלאות!$G:$H,2,0))</f>
        <v>מזון ומשקאות</v>
      </c>
      <c r="M70" s="51">
        <f t="shared" si="1"/>
        <v>39.799999999999997</v>
      </c>
    </row>
    <row r="71" spans="1:13">
      <c r="A71" s="135" t="s">
        <v>1355</v>
      </c>
      <c r="B71" s="135" t="s">
        <v>246</v>
      </c>
      <c r="C71" s="135" t="s">
        <v>1460</v>
      </c>
      <c r="D71" s="136">
        <v>30</v>
      </c>
      <c r="E71" s="135" t="s">
        <v>1367</v>
      </c>
      <c r="F71" s="135" t="s">
        <v>1372</v>
      </c>
      <c r="G71" s="135" t="s">
        <v>1461</v>
      </c>
      <c r="H71" s="135" t="s">
        <v>1426</v>
      </c>
      <c r="I71" s="136">
        <v>30</v>
      </c>
      <c r="K71" t="str">
        <f>IF(A71&gt;0,VLOOKUP(A71,טבלאות!$J:$K,2,0),"")</f>
        <v>אשראי מיכה</v>
      </c>
      <c r="L71" s="50" t="str">
        <f>IF(ISERROR(VLOOKUP(B71,טבלאות!$G:$H,2,0)),"",VLOOKUP(B71,טבלאות!$G:$H,2,0))</f>
        <v>חוגים</v>
      </c>
      <c r="M71" s="51">
        <f t="shared" si="1"/>
        <v>30</v>
      </c>
    </row>
    <row r="72" spans="1:13">
      <c r="A72" s="135" t="s">
        <v>1355</v>
      </c>
      <c r="B72" s="135" t="s">
        <v>966</v>
      </c>
      <c r="C72" s="135" t="s">
        <v>1460</v>
      </c>
      <c r="D72" s="136">
        <v>279.63</v>
      </c>
      <c r="E72" s="135" t="s">
        <v>1367</v>
      </c>
      <c r="F72" s="135" t="s">
        <v>1368</v>
      </c>
      <c r="G72" s="135" t="s">
        <v>1369</v>
      </c>
      <c r="H72" s="135" t="s">
        <v>1426</v>
      </c>
      <c r="I72" s="136">
        <v>279.63</v>
      </c>
      <c r="K72" t="str">
        <f>IF(A72&gt;0,VLOOKUP(A72,טבלאות!$J:$K,2,0),"")</f>
        <v>אשראי מיכה</v>
      </c>
      <c r="L72" s="50" t="str">
        <f>IF(ISERROR(VLOOKUP(B72,טבלאות!$G:$H,2,0)),"",VLOOKUP(B72,טבלאות!$G:$H,2,0))</f>
        <v>מזון ומשקאות</v>
      </c>
      <c r="M72" s="51">
        <f t="shared" si="1"/>
        <v>279.63</v>
      </c>
    </row>
    <row r="73" spans="1:13">
      <c r="A73" s="135" t="s">
        <v>1355</v>
      </c>
      <c r="B73" s="135" t="s">
        <v>638</v>
      </c>
      <c r="C73" s="135" t="s">
        <v>1460</v>
      </c>
      <c r="D73" s="136">
        <v>95.7</v>
      </c>
      <c r="E73" s="135" t="s">
        <v>1367</v>
      </c>
      <c r="F73" s="135" t="s">
        <v>1368</v>
      </c>
      <c r="G73" s="135" t="s">
        <v>1369</v>
      </c>
      <c r="H73" s="135" t="s">
        <v>1426</v>
      </c>
      <c r="I73" s="136">
        <v>95.7</v>
      </c>
      <c r="K73" t="str">
        <f>IF(A73&gt;0,VLOOKUP(A73,טבלאות!$J:$K,2,0),"")</f>
        <v>אשראי מיכה</v>
      </c>
      <c r="L73" s="50" t="str">
        <f>IF(ISERROR(VLOOKUP(B73,טבלאות!$G:$H,2,0)),"",VLOOKUP(B73,טבלאות!$G:$H,2,0))</f>
        <v>מזון ומשקאות</v>
      </c>
      <c r="M73" s="51">
        <f t="shared" si="1"/>
        <v>95.7</v>
      </c>
    </row>
    <row r="74" spans="1:13">
      <c r="A74" s="135" t="s">
        <v>1355</v>
      </c>
      <c r="B74" s="135" t="s">
        <v>95</v>
      </c>
      <c r="C74" s="135" t="s">
        <v>1460</v>
      </c>
      <c r="D74" s="136">
        <v>19.899999999999999</v>
      </c>
      <c r="E74" s="135" t="s">
        <v>1367</v>
      </c>
      <c r="F74" s="135" t="s">
        <v>1368</v>
      </c>
      <c r="G74" s="135" t="s">
        <v>1369</v>
      </c>
      <c r="H74" s="135" t="s">
        <v>1426</v>
      </c>
      <c r="I74" s="136">
        <v>19.899999999999999</v>
      </c>
      <c r="K74" t="str">
        <f>IF(A74&gt;0,VLOOKUP(A74,טבלאות!$J:$K,2,0),"")</f>
        <v>אשראי מיכה</v>
      </c>
      <c r="L74" s="50" t="str">
        <f>IF(ISERROR(VLOOKUP(B74,טבלאות!$G:$H,2,0)),"",VLOOKUP(B74,טבלאות!$G:$H,2,0))</f>
        <v>בריאות</v>
      </c>
      <c r="M74" s="51">
        <f t="shared" si="1"/>
        <v>19.899999999999999</v>
      </c>
    </row>
    <row r="75" spans="1:13">
      <c r="A75" s="135" t="s">
        <v>1355</v>
      </c>
      <c r="B75" s="135" t="s">
        <v>76</v>
      </c>
      <c r="C75" s="135" t="s">
        <v>1462</v>
      </c>
      <c r="D75" s="136">
        <v>32</v>
      </c>
      <c r="E75" s="135" t="s">
        <v>1367</v>
      </c>
      <c r="F75" s="135" t="s">
        <v>1368</v>
      </c>
      <c r="G75" s="135" t="s">
        <v>1375</v>
      </c>
      <c r="H75" s="135" t="s">
        <v>1426</v>
      </c>
      <c r="I75" s="136">
        <v>32</v>
      </c>
      <c r="K75" t="str">
        <f>IF(A75&gt;0,VLOOKUP(A75,טבלאות!$J:$K,2,0),"")</f>
        <v>אשראי מיכה</v>
      </c>
      <c r="L75" s="50" t="str">
        <f>IF(ISERROR(VLOOKUP(B75,טבלאות!$G:$H,2,0)),"",VLOOKUP(B75,טבלאות!$G:$H,2,0))</f>
        <v>בריאות</v>
      </c>
      <c r="M75" s="51">
        <f t="shared" si="1"/>
        <v>32</v>
      </c>
    </row>
    <row r="76" spans="1:13">
      <c r="A76" s="135" t="s">
        <v>1355</v>
      </c>
      <c r="B76" s="135" t="s">
        <v>649</v>
      </c>
      <c r="C76" s="135" t="s">
        <v>1462</v>
      </c>
      <c r="D76" s="136">
        <v>86</v>
      </c>
      <c r="E76" s="135" t="s">
        <v>1367</v>
      </c>
      <c r="F76" s="135" t="s">
        <v>1368</v>
      </c>
      <c r="G76" s="135" t="s">
        <v>1369</v>
      </c>
      <c r="H76" s="135" t="s">
        <v>1426</v>
      </c>
      <c r="I76" s="136">
        <v>86</v>
      </c>
      <c r="K76" t="str">
        <f>IF(A76&gt;0,VLOOKUP(A76,טבלאות!$J:$K,2,0),"")</f>
        <v>אשראי מיכה</v>
      </c>
      <c r="L76" s="50" t="str">
        <f>IF(ISERROR(VLOOKUP(B76,טבלאות!$G:$H,2,0)),"",VLOOKUP(B76,טבלאות!$G:$H,2,0))</f>
        <v>מזון ומשקאות</v>
      </c>
      <c r="M76" s="51">
        <f t="shared" si="1"/>
        <v>86</v>
      </c>
    </row>
    <row r="77" spans="1:13">
      <c r="A77" s="135" t="s">
        <v>1355</v>
      </c>
      <c r="B77" s="135" t="s">
        <v>368</v>
      </c>
      <c r="C77" s="135" t="s">
        <v>1462</v>
      </c>
      <c r="D77" s="136">
        <v>119.8</v>
      </c>
      <c r="E77" s="135" t="s">
        <v>1367</v>
      </c>
      <c r="F77" s="135" t="s">
        <v>1368</v>
      </c>
      <c r="G77" s="135" t="s">
        <v>1369</v>
      </c>
      <c r="H77" s="135" t="s">
        <v>1426</v>
      </c>
      <c r="I77" s="136">
        <v>119.8</v>
      </c>
      <c r="K77" t="str">
        <f>IF(A77&gt;0,VLOOKUP(A77,טבלאות!$J:$K,2,0),"")</f>
        <v>אשראי מיכה</v>
      </c>
      <c r="L77" s="50" t="str">
        <f>IF(ISERROR(VLOOKUP(B77,טבלאות!$G:$H,2,0)),"",VLOOKUP(B77,טבלאות!$G:$H,2,0))</f>
        <v>בית וגן</v>
      </c>
      <c r="M77" s="51">
        <f t="shared" si="1"/>
        <v>119.8</v>
      </c>
    </row>
    <row r="78" spans="1:13">
      <c r="A78" s="135" t="s">
        <v>1355</v>
      </c>
      <c r="B78" s="135" t="s">
        <v>966</v>
      </c>
      <c r="C78" s="135" t="s">
        <v>1462</v>
      </c>
      <c r="D78" s="136">
        <v>541.02</v>
      </c>
      <c r="E78" s="135" t="s">
        <v>1367</v>
      </c>
      <c r="F78" s="135" t="s">
        <v>1368</v>
      </c>
      <c r="G78" s="135" t="s">
        <v>1369</v>
      </c>
      <c r="H78" s="135" t="s">
        <v>1426</v>
      </c>
      <c r="I78" s="136">
        <v>541.02</v>
      </c>
      <c r="K78" t="str">
        <f>IF(A78&gt;0,VLOOKUP(A78,טבלאות!$J:$K,2,0),"")</f>
        <v>אשראי מיכה</v>
      </c>
      <c r="L78" s="50" t="str">
        <f>IF(ISERROR(VLOOKUP(B78,טבלאות!$G:$H,2,0)),"",VLOOKUP(B78,טבלאות!$G:$H,2,0))</f>
        <v>מזון ומשקאות</v>
      </c>
      <c r="M78" s="51">
        <f t="shared" si="1"/>
        <v>541.02</v>
      </c>
    </row>
    <row r="79" spans="1:13">
      <c r="A79" s="135" t="s">
        <v>764</v>
      </c>
      <c r="B79" s="135" t="s">
        <v>246</v>
      </c>
      <c r="C79" s="135" t="s">
        <v>1462</v>
      </c>
      <c r="D79" s="136">
        <v>130</v>
      </c>
      <c r="E79" s="135" t="s">
        <v>1367</v>
      </c>
      <c r="F79" s="135" t="s">
        <v>1368</v>
      </c>
      <c r="G79" s="135" t="s">
        <v>1463</v>
      </c>
      <c r="H79" s="135" t="s">
        <v>1426</v>
      </c>
      <c r="I79" s="136">
        <v>130</v>
      </c>
      <c r="K79" t="str">
        <f>IF(A79&gt;0,VLOOKUP(A79,טבלאות!$J:$K,2,0),"")</f>
        <v>אשראי אורנה</v>
      </c>
      <c r="L79" s="50" t="str">
        <f>IF(ISERROR(VLOOKUP(B79,טבלאות!$G:$H,2,0)),"",VLOOKUP(B79,טבלאות!$G:$H,2,0))</f>
        <v>חוגים</v>
      </c>
      <c r="M79" s="51">
        <f t="shared" si="1"/>
        <v>130</v>
      </c>
    </row>
    <row r="80" spans="1:13">
      <c r="A80" s="135" t="s">
        <v>1355</v>
      </c>
      <c r="B80" s="135" t="s">
        <v>886</v>
      </c>
      <c r="C80" s="135" t="s">
        <v>1464</v>
      </c>
      <c r="D80" s="136">
        <v>31.14</v>
      </c>
      <c r="E80" s="135" t="s">
        <v>1367</v>
      </c>
      <c r="F80" s="135" t="s">
        <v>1368</v>
      </c>
      <c r="G80" s="135" t="s">
        <v>1369</v>
      </c>
      <c r="H80" s="135" t="s">
        <v>1426</v>
      </c>
      <c r="I80" s="136">
        <v>31.14</v>
      </c>
      <c r="K80" t="str">
        <f>IF(A80&gt;0,VLOOKUP(A80,טבלאות!$J:$K,2,0),"")</f>
        <v>אשראי מיכה</v>
      </c>
      <c r="L80" s="50" t="str">
        <f>IF(ISERROR(VLOOKUP(B80,טבלאות!$G:$H,2,0)),"",VLOOKUP(B80,טבלאות!$G:$H,2,0))</f>
        <v>מזון ומשקאות</v>
      </c>
      <c r="M80" s="51">
        <f t="shared" si="1"/>
        <v>31.14</v>
      </c>
    </row>
    <row r="81" spans="1:13">
      <c r="A81" s="135" t="s">
        <v>1355</v>
      </c>
      <c r="B81" s="135" t="s">
        <v>518</v>
      </c>
      <c r="C81" s="135" t="s">
        <v>1370</v>
      </c>
      <c r="D81" s="136">
        <v>4.99</v>
      </c>
      <c r="E81" s="135" t="s">
        <v>1367</v>
      </c>
      <c r="F81" s="135" t="s">
        <v>1368</v>
      </c>
      <c r="G81" s="135" t="s">
        <v>1369</v>
      </c>
      <c r="H81" s="135" t="s">
        <v>1426</v>
      </c>
      <c r="I81" s="136">
        <v>4.99</v>
      </c>
      <c r="K81" t="str">
        <f>IF(A81&gt;0,VLOOKUP(A81,טבלאות!$J:$K,2,0),"")</f>
        <v>אשראי מיכה</v>
      </c>
      <c r="L81" s="50" t="str">
        <f>IF(ISERROR(VLOOKUP(B81,טבלאות!$G:$H,2,0)),"",VLOOKUP(B81,טבלאות!$G:$H,2,0))</f>
        <v>מזון ומשקאות</v>
      </c>
      <c r="M81" s="51">
        <f t="shared" si="1"/>
        <v>4.99</v>
      </c>
    </row>
    <row r="82" spans="1:13">
      <c r="A82" s="135" t="s">
        <v>1355</v>
      </c>
      <c r="B82" s="135" t="s">
        <v>886</v>
      </c>
      <c r="C82" s="135" t="s">
        <v>1370</v>
      </c>
      <c r="D82" s="136">
        <v>21.29</v>
      </c>
      <c r="E82" s="135" t="s">
        <v>1367</v>
      </c>
      <c r="F82" s="135" t="s">
        <v>1368</v>
      </c>
      <c r="G82" s="135" t="s">
        <v>1369</v>
      </c>
      <c r="H82" s="135" t="s">
        <v>1426</v>
      </c>
      <c r="I82" s="136">
        <v>21.29</v>
      </c>
      <c r="K82" t="str">
        <f>IF(A82&gt;0,VLOOKUP(A82,טבלאות!$J:$K,2,0),"")</f>
        <v>אשראי מיכה</v>
      </c>
      <c r="L82" s="50" t="str">
        <f>IF(ISERROR(VLOOKUP(B82,טבלאות!$G:$H,2,0)),"",VLOOKUP(B82,טבלאות!$G:$H,2,0))</f>
        <v>מזון ומשקאות</v>
      </c>
      <c r="M82" s="51">
        <f t="shared" si="1"/>
        <v>21.29</v>
      </c>
    </row>
    <row r="83" spans="1:13">
      <c r="A83" s="135" t="s">
        <v>1355</v>
      </c>
      <c r="B83" s="135" t="s">
        <v>1129</v>
      </c>
      <c r="C83" s="135" t="s">
        <v>1370</v>
      </c>
      <c r="D83" s="136">
        <v>13.9</v>
      </c>
      <c r="E83" s="135" t="s">
        <v>1367</v>
      </c>
      <c r="F83" s="135" t="s">
        <v>1368</v>
      </c>
      <c r="G83" s="135" t="s">
        <v>1369</v>
      </c>
      <c r="H83" s="135" t="s">
        <v>1426</v>
      </c>
      <c r="I83" s="136">
        <v>13.9</v>
      </c>
      <c r="K83" t="str">
        <f>IF(A83&gt;0,VLOOKUP(A83,טבלאות!$J:$K,2,0),"")</f>
        <v>אשראי מיכה</v>
      </c>
      <c r="L83" s="50" t="str">
        <f>IF(ISERROR(VLOOKUP(B83,טבלאות!$G:$H,2,0)),"",VLOOKUP(B83,טבלאות!$G:$H,2,0))</f>
        <v>בריאות</v>
      </c>
      <c r="M83" s="51">
        <f t="shared" si="1"/>
        <v>13.9</v>
      </c>
    </row>
    <row r="84" spans="1:13">
      <c r="A84" s="135" t="s">
        <v>1355</v>
      </c>
      <c r="B84" s="135" t="s">
        <v>1465</v>
      </c>
      <c r="C84" s="135" t="s">
        <v>1466</v>
      </c>
      <c r="D84" s="136">
        <v>0.13</v>
      </c>
      <c r="E84" s="135" t="s">
        <v>1367</v>
      </c>
      <c r="F84" s="135" t="s">
        <v>1372</v>
      </c>
      <c r="G84" s="135" t="s">
        <v>1467</v>
      </c>
      <c r="H84" s="135" t="s">
        <v>1426</v>
      </c>
      <c r="I84" s="136">
        <v>0.13</v>
      </c>
      <c r="K84" t="str">
        <f>IF(A84&gt;0,VLOOKUP(A84,טבלאות!$J:$K,2,0),"")</f>
        <v>אשראי מיכה</v>
      </c>
      <c r="L84" s="50" t="str">
        <f>IF(ISERROR(VLOOKUP(B84,טבלאות!$G:$H,2,0)),"",VLOOKUP(B84,טבלאות!$G:$H,2,0))</f>
        <v>בית וגן</v>
      </c>
      <c r="M84" s="51">
        <f t="shared" si="1"/>
        <v>0.13</v>
      </c>
    </row>
    <row r="85" spans="1:13">
      <c r="A85" s="135" t="s">
        <v>1355</v>
      </c>
      <c r="B85" s="135" t="s">
        <v>649</v>
      </c>
      <c r="C85" s="135" t="s">
        <v>1466</v>
      </c>
      <c r="D85" s="136">
        <v>20</v>
      </c>
      <c r="E85" s="135" t="s">
        <v>1367</v>
      </c>
      <c r="F85" s="135" t="s">
        <v>1368</v>
      </c>
      <c r="G85" s="135" t="s">
        <v>1369</v>
      </c>
      <c r="H85" s="135" t="s">
        <v>1426</v>
      </c>
      <c r="I85" s="136">
        <v>20</v>
      </c>
      <c r="K85" t="str">
        <f>IF(A85&gt;0,VLOOKUP(A85,טבלאות!$J:$K,2,0),"")</f>
        <v>אשראי מיכה</v>
      </c>
      <c r="L85" s="50" t="str">
        <f>IF(ISERROR(VLOOKUP(B85,טבלאות!$G:$H,2,0)),"",VLOOKUP(B85,טבלאות!$G:$H,2,0))</f>
        <v>מזון ומשקאות</v>
      </c>
      <c r="M85" s="51">
        <f t="shared" si="1"/>
        <v>20</v>
      </c>
    </row>
    <row r="86" spans="1:13">
      <c r="A86" s="135" t="s">
        <v>1355</v>
      </c>
      <c r="B86" s="135" t="s">
        <v>966</v>
      </c>
      <c r="C86" s="135" t="s">
        <v>1466</v>
      </c>
      <c r="D86" s="136">
        <v>189.6</v>
      </c>
      <c r="E86" s="135" t="s">
        <v>1367</v>
      </c>
      <c r="F86" s="135" t="s">
        <v>1368</v>
      </c>
      <c r="G86" s="135" t="s">
        <v>1369</v>
      </c>
      <c r="H86" s="135" t="s">
        <v>1426</v>
      </c>
      <c r="I86" s="136">
        <v>189.6</v>
      </c>
      <c r="K86" t="str">
        <f>IF(A86&gt;0,VLOOKUP(A86,טבלאות!$J:$K,2,0),"")</f>
        <v>אשראי מיכה</v>
      </c>
      <c r="L86" s="50" t="str">
        <f>IF(ISERROR(VLOOKUP(B86,טבלאות!$G:$H,2,0)),"",VLOOKUP(B86,טבלאות!$G:$H,2,0))</f>
        <v>מזון ומשקאות</v>
      </c>
      <c r="M86" s="51">
        <f t="shared" si="1"/>
        <v>189.6</v>
      </c>
    </row>
    <row r="87" spans="1:13">
      <c r="A87" s="135" t="s">
        <v>764</v>
      </c>
      <c r="B87" s="135" t="s">
        <v>516</v>
      </c>
      <c r="C87" s="135" t="s">
        <v>1466</v>
      </c>
      <c r="D87" s="136">
        <v>30</v>
      </c>
      <c r="E87" s="135" t="s">
        <v>1367</v>
      </c>
      <c r="F87" s="135" t="s">
        <v>1368</v>
      </c>
      <c r="G87" s="135" t="s">
        <v>1375</v>
      </c>
      <c r="H87" s="135" t="s">
        <v>1426</v>
      </c>
      <c r="I87" s="136">
        <v>30</v>
      </c>
      <c r="K87" t="str">
        <f>IF(A87&gt;0,VLOOKUP(A87,טבלאות!$J:$K,2,0),"")</f>
        <v>אשראי אורנה</v>
      </c>
      <c r="L87" s="50" t="str">
        <f>IF(ISERROR(VLOOKUP(B87,טבלאות!$G:$H,2,0)),"",VLOOKUP(B87,טבלאות!$G:$H,2,0))</f>
        <v>שונות</v>
      </c>
      <c r="M87" s="51">
        <f t="shared" si="1"/>
        <v>30</v>
      </c>
    </row>
    <row r="88" spans="1:13">
      <c r="A88" s="135" t="s">
        <v>1355</v>
      </c>
      <c r="B88" s="135" t="s">
        <v>1132</v>
      </c>
      <c r="C88" s="135" t="s">
        <v>1371</v>
      </c>
      <c r="D88" s="136">
        <v>80</v>
      </c>
      <c r="E88" s="135" t="s">
        <v>1367</v>
      </c>
      <c r="F88" s="135" t="s">
        <v>1368</v>
      </c>
      <c r="G88" s="135" t="s">
        <v>1375</v>
      </c>
      <c r="H88" s="135" t="s">
        <v>1426</v>
      </c>
      <c r="I88" s="136">
        <v>80</v>
      </c>
      <c r="K88" t="str">
        <f>IF(A88&gt;0,VLOOKUP(A88,טבלאות!$J:$K,2,0),"")</f>
        <v>אשראי מיכה</v>
      </c>
      <c r="L88" s="50" t="str">
        <f>IF(ISERROR(VLOOKUP(B88,טבלאות!$G:$H,2,0)),"",VLOOKUP(B88,טבלאות!$G:$H,2,0))</f>
        <v>ביטוח</v>
      </c>
      <c r="M88" s="51">
        <f t="shared" si="1"/>
        <v>80</v>
      </c>
    </row>
    <row r="89" spans="1:13">
      <c r="A89" s="135" t="s">
        <v>764</v>
      </c>
      <c r="B89" s="135" t="s">
        <v>1381</v>
      </c>
      <c r="C89" s="135" t="s">
        <v>1382</v>
      </c>
      <c r="D89" s="136">
        <v>8956</v>
      </c>
      <c r="E89" s="135" t="s">
        <v>1367</v>
      </c>
      <c r="F89" s="135" t="s">
        <v>1383</v>
      </c>
      <c r="G89" s="135" t="s">
        <v>1468</v>
      </c>
      <c r="H89" s="135" t="s">
        <v>1426</v>
      </c>
      <c r="I89" s="136">
        <v>746</v>
      </c>
      <c r="K89" t="str">
        <f>IF(A89&gt;0,VLOOKUP(A89,טבלאות!$J:$K,2,0),"")</f>
        <v>אשראי אורנה</v>
      </c>
      <c r="L89" s="50" t="str">
        <f>IF(ISERROR(VLOOKUP(B89,טבלאות!$G:$H,2,0)),"",VLOOKUP(B89,טבלאות!$G:$H,2,0))</f>
        <v>בית ספר</v>
      </c>
      <c r="M89" s="51">
        <f t="shared" si="1"/>
        <v>746</v>
      </c>
    </row>
    <row r="90" spans="1:13">
      <c r="A90" s="135" t="s">
        <v>764</v>
      </c>
      <c r="B90" s="135" t="s">
        <v>113</v>
      </c>
      <c r="C90" s="135" t="s">
        <v>1418</v>
      </c>
      <c r="D90" s="136">
        <v>2430</v>
      </c>
      <c r="E90" s="135" t="s">
        <v>1367</v>
      </c>
      <c r="F90" s="135" t="s">
        <v>1383</v>
      </c>
      <c r="G90" s="135" t="s">
        <v>1469</v>
      </c>
      <c r="H90" s="135" t="s">
        <v>1426</v>
      </c>
      <c r="I90" s="136">
        <v>270</v>
      </c>
      <c r="K90" t="str">
        <f>IF(A90&gt;0,VLOOKUP(A90,טבלאות!$J:$K,2,0),"")</f>
        <v>אשראי אורנה</v>
      </c>
      <c r="L90" s="50" t="str">
        <f>IF(ISERROR(VLOOKUP(B90,טבלאות!$G:$H,2,0)),"",VLOOKUP(B90,טבלאות!$G:$H,2,0))</f>
        <v>חוגים</v>
      </c>
      <c r="M90" s="51">
        <f t="shared" si="1"/>
        <v>270</v>
      </c>
    </row>
    <row r="91" spans="1:13">
      <c r="A91" s="135" t="s">
        <v>764</v>
      </c>
      <c r="B91" s="135" t="s">
        <v>207</v>
      </c>
      <c r="C91" s="135" t="s">
        <v>1420</v>
      </c>
      <c r="D91" s="136">
        <v>3650</v>
      </c>
      <c r="E91" s="135" t="s">
        <v>1367</v>
      </c>
      <c r="F91" s="135" t="s">
        <v>1383</v>
      </c>
      <c r="G91" s="135" t="s">
        <v>1470</v>
      </c>
      <c r="H91" s="135" t="s">
        <v>1426</v>
      </c>
      <c r="I91" s="136">
        <v>365</v>
      </c>
      <c r="K91" t="str">
        <f>IF(A91&gt;0,VLOOKUP(A91,טבלאות!$J:$K,2,0),"")</f>
        <v>אשראי אורנה</v>
      </c>
      <c r="L91" s="50" t="str">
        <f>IF(ISERROR(VLOOKUP(B91,טבלאות!$G:$H,2,0)),"",VLOOKUP(B91,טבלאות!$G:$H,2,0))</f>
        <v>חוגים</v>
      </c>
      <c r="M91" s="51">
        <f t="shared" si="1"/>
        <v>365</v>
      </c>
    </row>
    <row r="92" spans="1:13">
      <c r="A92" t="s">
        <v>665</v>
      </c>
      <c r="B92" s="135" t="s">
        <v>1356</v>
      </c>
      <c r="C92" s="112">
        <v>46039</v>
      </c>
      <c r="D92" s="106">
        <v>10500</v>
      </c>
      <c r="E92" s="105"/>
      <c r="F92" s="105"/>
      <c r="G92" s="105" t="s">
        <v>1471</v>
      </c>
      <c r="H92" s="135" t="s">
        <v>1426</v>
      </c>
      <c r="I92" s="106">
        <v>5250</v>
      </c>
      <c r="K92" t="str">
        <f>IF(A92&gt;0,VLOOKUP(A92,טבלאות!$J:$K,2,0),"")</f>
        <v>בהצדעה</v>
      </c>
      <c r="L92" s="50" t="str">
        <f>IF(ISERROR(VLOOKUP(B92,טבלאות!$G:$H,2,0)),"",VLOOKUP(B92,טבלאות!$G:$H,2,0))</f>
        <v>חינוך ומשפחה</v>
      </c>
      <c r="M92" s="51">
        <f t="shared" si="1"/>
        <v>5250</v>
      </c>
    </row>
    <row r="93" spans="1:13">
      <c r="A93" t="s">
        <v>1346</v>
      </c>
      <c r="B93" s="105" t="s">
        <v>1353</v>
      </c>
      <c r="C93" s="112">
        <v>45966</v>
      </c>
      <c r="D93" s="106">
        <v>27567.9</v>
      </c>
      <c r="E93" s="105"/>
      <c r="F93" s="105"/>
      <c r="G93" s="105" t="s">
        <v>1472</v>
      </c>
      <c r="H93" s="135" t="s">
        <v>1426</v>
      </c>
      <c r="I93" s="106">
        <v>9189.2999999999993</v>
      </c>
      <c r="K93" t="str">
        <f>IF(A93&gt;0,VLOOKUP(A93,טבלאות!$J:$K,2,0),"")</f>
        <v>הסתדרות</v>
      </c>
      <c r="L93" s="50" t="str">
        <f>IF(ISERROR(VLOOKUP(B93,טבלאות!$G:$H,2,0)),"",VLOOKUP(B93,טבלאות!$G:$H,2,0))</f>
        <v>נופש</v>
      </c>
      <c r="M93" s="51">
        <f t="shared" si="1"/>
        <v>9189.2999999999993</v>
      </c>
    </row>
    <row r="94" spans="1:13">
      <c r="A94" t="s">
        <v>697</v>
      </c>
      <c r="B94" s="105" t="s">
        <v>1205</v>
      </c>
      <c r="C94" s="137">
        <v>46034</v>
      </c>
      <c r="D94" s="105">
        <v>53.07</v>
      </c>
      <c r="H94" s="135" t="s">
        <v>1426</v>
      </c>
      <c r="I94" s="105">
        <v>53.07</v>
      </c>
      <c r="K94" t="str">
        <f>IF(A94&gt;0,VLOOKUP(A94,טבלאות!$J:$K,2,0),"")</f>
        <v>טוב</v>
      </c>
      <c r="L94" s="50" t="str">
        <f>IF(ISERROR(VLOOKUP(B94,טבלאות!$G:$H,2,0)),"",VLOOKUP(B94,טבלאות!$G:$H,2,0))</f>
        <v>ביטוח</v>
      </c>
      <c r="M94" s="51">
        <f t="shared" si="1"/>
        <v>53.07</v>
      </c>
    </row>
    <row r="95" spans="1:13">
      <c r="A95" t="s">
        <v>697</v>
      </c>
      <c r="B95" s="105" t="s">
        <v>1205</v>
      </c>
      <c r="C95" s="137">
        <v>46034</v>
      </c>
      <c r="D95" s="105">
        <v>107.13</v>
      </c>
      <c r="H95" s="135" t="s">
        <v>1426</v>
      </c>
      <c r="I95" s="105">
        <v>107.13</v>
      </c>
      <c r="K95" t="str">
        <f>IF(A95&gt;0,VLOOKUP(A95,טבלאות!$J:$K,2,0),"")</f>
        <v>טוב</v>
      </c>
      <c r="L95" s="50" t="str">
        <f>IF(ISERROR(VLOOKUP(B95,טבלאות!$G:$H,2,0)),"",VLOOKUP(B95,טבלאות!$G:$H,2,0))</f>
        <v>ביטוח</v>
      </c>
      <c r="M95" s="51">
        <f t="shared" si="1"/>
        <v>107.13</v>
      </c>
    </row>
    <row r="96" spans="1:13">
      <c r="A96" t="s">
        <v>697</v>
      </c>
      <c r="B96" s="105" t="s">
        <v>1205</v>
      </c>
      <c r="C96" s="137">
        <v>46034</v>
      </c>
      <c r="D96" s="105">
        <v>142.26</v>
      </c>
      <c r="H96" s="135" t="s">
        <v>1426</v>
      </c>
      <c r="I96" s="105">
        <v>142.26</v>
      </c>
      <c r="K96" t="str">
        <f>IF(A96&gt;0,VLOOKUP(A96,טבלאות!$J:$K,2,0),"")</f>
        <v>טוב</v>
      </c>
      <c r="L96" s="50" t="str">
        <f>IF(ISERROR(VLOOKUP(B96,טבלאות!$G:$H,2,0)),"",VLOOKUP(B96,טבלאות!$G:$H,2,0))</f>
        <v>ביטוח</v>
      </c>
      <c r="M96" s="51">
        <f t="shared" si="1"/>
        <v>142.26</v>
      </c>
    </row>
    <row r="97" spans="1:13">
      <c r="A97" t="s">
        <v>697</v>
      </c>
      <c r="B97" s="105" t="s">
        <v>1205</v>
      </c>
      <c r="C97" s="137">
        <v>46034</v>
      </c>
      <c r="D97" s="105">
        <v>138.94</v>
      </c>
      <c r="H97" s="135" t="s">
        <v>1426</v>
      </c>
      <c r="I97" s="105">
        <v>138.94</v>
      </c>
      <c r="K97" t="str">
        <f>IF(A97&gt;0,VLOOKUP(A97,טבלאות!$J:$K,2,0),"")</f>
        <v>טוב</v>
      </c>
      <c r="L97" s="50" t="str">
        <f>IF(ISERROR(VLOOKUP(B97,טבלאות!$G:$H,2,0)),"",VLOOKUP(B97,טבלאות!$G:$H,2,0))</f>
        <v>ביטוח</v>
      </c>
      <c r="M97" s="51">
        <f t="shared" si="1"/>
        <v>138.94</v>
      </c>
    </row>
    <row r="98" spans="1:13">
      <c r="A98" t="s">
        <v>697</v>
      </c>
      <c r="B98" s="105" t="s">
        <v>1205</v>
      </c>
      <c r="C98" s="137">
        <v>46034</v>
      </c>
      <c r="D98" s="105">
        <v>53.07</v>
      </c>
      <c r="H98" s="135" t="s">
        <v>1426</v>
      </c>
      <c r="I98" s="105">
        <v>53.07</v>
      </c>
      <c r="K98" t="str">
        <f>IF(A98&gt;0,VLOOKUP(A98,טבלאות!$J:$K,2,0),"")</f>
        <v>טוב</v>
      </c>
      <c r="L98" s="50" t="str">
        <f>IF(ISERROR(VLOOKUP(B98,טבלאות!$G:$H,2,0)),"",VLOOKUP(B98,טבלאות!$G:$H,2,0))</f>
        <v>ביטוח</v>
      </c>
      <c r="M98" s="51">
        <f t="shared" si="1"/>
        <v>53.07</v>
      </c>
    </row>
    <row r="99" spans="1:13">
      <c r="A99" t="s">
        <v>697</v>
      </c>
      <c r="B99" t="s">
        <v>1473</v>
      </c>
      <c r="C99" s="137">
        <v>46037</v>
      </c>
      <c r="D99">
        <v>179</v>
      </c>
      <c r="H99" s="135" t="s">
        <v>1426</v>
      </c>
      <c r="I99">
        <v>179</v>
      </c>
      <c r="K99" t="str">
        <f>IF(A99&gt;0,VLOOKUP(A99,טבלאות!$J:$K,2,0),"")</f>
        <v>טוב</v>
      </c>
      <c r="L99" s="50" t="str">
        <f>IF(ISERROR(VLOOKUP(B99,טבלאות!$G:$H,2,0)),"",VLOOKUP(B99,טבלאות!$G:$H,2,0))</f>
        <v>בילוי ומסעדות</v>
      </c>
      <c r="M99" s="51">
        <f t="shared" si="1"/>
        <v>179</v>
      </c>
    </row>
    <row r="100" spans="1:13">
      <c r="A100" t="s">
        <v>697</v>
      </c>
      <c r="B100" t="s">
        <v>1473</v>
      </c>
      <c r="C100" s="137">
        <v>46037</v>
      </c>
      <c r="D100">
        <v>179</v>
      </c>
      <c r="H100" s="135" t="s">
        <v>1426</v>
      </c>
      <c r="I100">
        <v>179</v>
      </c>
      <c r="K100" t="str">
        <f>IF(A100&gt;0,VLOOKUP(A100,טבלאות!$J:$K,2,0),"")</f>
        <v>טוב</v>
      </c>
      <c r="L100" s="50" t="str">
        <f>IF(ISERROR(VLOOKUP(B100,טבלאות!$G:$H,2,0)),"",VLOOKUP(B100,טבלאות!$G:$H,2,0))</f>
        <v>בילוי ומסעדות</v>
      </c>
      <c r="M100" s="51">
        <f t="shared" si="1"/>
        <v>179</v>
      </c>
    </row>
    <row r="101" spans="1:13">
      <c r="A101" t="s">
        <v>697</v>
      </c>
      <c r="B101" t="s">
        <v>1473</v>
      </c>
      <c r="C101" s="137">
        <v>46037</v>
      </c>
      <c r="D101">
        <v>179</v>
      </c>
      <c r="H101" s="135" t="s">
        <v>1426</v>
      </c>
      <c r="I101">
        <v>179</v>
      </c>
      <c r="K101" t="str">
        <f>IF(A101&gt;0,VLOOKUP(A101,טבלאות!$J:$K,2,0),"")</f>
        <v>טוב</v>
      </c>
      <c r="L101" s="50" t="str">
        <f>IF(ISERROR(VLOOKUP(B101,טבלאות!$G:$H,2,0)),"",VLOOKUP(B101,טבלאות!$G:$H,2,0))</f>
        <v>בילוי ומסעדות</v>
      </c>
      <c r="M101" s="51">
        <f t="shared" si="1"/>
        <v>179</v>
      </c>
    </row>
    <row r="102" spans="1:13">
      <c r="A102" t="s">
        <v>697</v>
      </c>
      <c r="B102" t="s">
        <v>1473</v>
      </c>
      <c r="C102" s="137">
        <v>46037</v>
      </c>
      <c r="D102">
        <v>179</v>
      </c>
      <c r="H102" s="135" t="s">
        <v>1426</v>
      </c>
      <c r="I102">
        <v>179</v>
      </c>
      <c r="K102" t="str">
        <f>IF(A102&gt;0,VLOOKUP(A102,טבלאות!$J:$K,2,0),"")</f>
        <v>טוב</v>
      </c>
      <c r="L102" s="50" t="str">
        <f>IF(ISERROR(VLOOKUP(B102,טבלאות!$G:$H,2,0)),"",VLOOKUP(B102,טבלאות!$G:$H,2,0))</f>
        <v>בילוי ומסעדות</v>
      </c>
      <c r="M102" s="51">
        <f t="shared" si="1"/>
        <v>179</v>
      </c>
    </row>
    <row r="103" spans="1:13">
      <c r="A103" t="s">
        <v>626</v>
      </c>
      <c r="B103" t="s">
        <v>1474</v>
      </c>
      <c r="C103" s="137">
        <v>46044</v>
      </c>
      <c r="D103">
        <v>35</v>
      </c>
      <c r="I103">
        <v>35</v>
      </c>
      <c r="K103" t="str">
        <f>IF(A103&gt;0,VLOOKUP(A103,טבלאות!$J:$K,2,0),"")</f>
        <v>שופרסל</v>
      </c>
      <c r="L103" s="50" t="str">
        <f>IF(ISERROR(VLOOKUP(B103,טבלאות!$G:$H,2,0)),"",VLOOKUP(B103,טבלאות!$G:$H,2,0))</f>
        <v>רכב ותחבורה</v>
      </c>
      <c r="M103" s="51">
        <f t="shared" si="1"/>
        <v>35</v>
      </c>
    </row>
    <row r="104" spans="1:13">
      <c r="A104" t="s">
        <v>626</v>
      </c>
      <c r="B104" t="s">
        <v>1219</v>
      </c>
      <c r="C104" s="137">
        <v>46040</v>
      </c>
      <c r="D104">
        <v>83.7</v>
      </c>
      <c r="I104">
        <v>83.7</v>
      </c>
      <c r="K104" t="str">
        <f>IF(A104&gt;0,VLOOKUP(A104,טבלאות!$J:$K,2,0),"")</f>
        <v>שופרסל</v>
      </c>
      <c r="L104" s="50" t="str">
        <f>IF(ISERROR(VLOOKUP(B104,טבלאות!$G:$H,2,0)),"",VLOOKUP(B104,טבלאות!$G:$H,2,0))</f>
        <v>מזון ומשקאות</v>
      </c>
      <c r="M104" s="51">
        <f t="shared" si="1"/>
        <v>83.7</v>
      </c>
    </row>
    <row r="105" spans="1:13">
      <c r="A105" t="s">
        <v>626</v>
      </c>
      <c r="B105" t="s">
        <v>1219</v>
      </c>
      <c r="C105" s="137">
        <v>46040</v>
      </c>
      <c r="D105">
        <v>22.44</v>
      </c>
      <c r="I105">
        <v>22.44</v>
      </c>
      <c r="K105" t="str">
        <f>IF(A105&gt;0,VLOOKUP(A105,טבלאות!$J:$K,2,0),"")</f>
        <v>שופרסל</v>
      </c>
      <c r="L105" s="50" t="str">
        <f>IF(ISERROR(VLOOKUP(B105,טבלאות!$G:$H,2,0)),"",VLOOKUP(B105,טבלאות!$G:$H,2,0))</f>
        <v>מזון ומשקאות</v>
      </c>
      <c r="M105" s="51">
        <f t="shared" si="1"/>
        <v>22.44</v>
      </c>
    </row>
    <row r="106" spans="1:13">
      <c r="A106" t="s">
        <v>626</v>
      </c>
      <c r="B106" t="s">
        <v>480</v>
      </c>
      <c r="C106" s="137">
        <v>46038</v>
      </c>
      <c r="D106">
        <v>19.309999999999999</v>
      </c>
      <c r="I106">
        <v>19.309999999999999</v>
      </c>
      <c r="K106" t="str">
        <f>IF(A106&gt;0,VLOOKUP(A106,טבלאות!$J:$K,2,0),"")</f>
        <v>שופרסל</v>
      </c>
      <c r="L106" s="50" t="str">
        <f>IF(ISERROR(VLOOKUP(B106,טבלאות!$G:$H,2,0)),"",VLOOKUP(B106,טבלאות!$G:$H,2,0))</f>
        <v>מזון ומשקאות</v>
      </c>
      <c r="M106" s="51">
        <f t="shared" si="1"/>
        <v>19.309999999999999</v>
      </c>
    </row>
    <row r="107" spans="1:13">
      <c r="A107" t="s">
        <v>626</v>
      </c>
      <c r="B107" t="s">
        <v>1437</v>
      </c>
      <c r="C107" s="137">
        <v>46033</v>
      </c>
      <c r="D107">
        <v>34</v>
      </c>
      <c r="I107">
        <v>34</v>
      </c>
      <c r="K107" t="str">
        <f>IF(A107&gt;0,VLOOKUP(A107,טבלאות!$J:$K,2,0),"")</f>
        <v>שופרסל</v>
      </c>
      <c r="L107" s="50" t="str">
        <f>IF(ISERROR(VLOOKUP(B107,טבלאות!$G:$H,2,0)),"",VLOOKUP(B107,טבלאות!$G:$H,2,0))</f>
        <v>מתנות ומזכרות</v>
      </c>
      <c r="M107" s="51">
        <f t="shared" si="1"/>
        <v>34</v>
      </c>
    </row>
    <row r="108" spans="1:13">
      <c r="A108" t="s">
        <v>626</v>
      </c>
      <c r="B108" t="s">
        <v>109</v>
      </c>
      <c r="C108" s="137">
        <v>46026</v>
      </c>
      <c r="D108">
        <v>12.9</v>
      </c>
      <c r="K108" t="str">
        <f>IF(A108&gt;0,VLOOKUP(A108,טבלאות!$J:$K,2,0),"")</f>
        <v>שופרסל</v>
      </c>
      <c r="L108" s="50" t="str">
        <f>IF(ISERROR(VLOOKUP(B108,טבלאות!$G:$H,2,0)),"",VLOOKUP(B108,טבלאות!$G:$H,2,0))</f>
        <v>שירותי בנקאות</v>
      </c>
      <c r="M108" s="51">
        <f t="shared" si="1"/>
        <v>0</v>
      </c>
    </row>
    <row r="109" spans="1:13"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1:13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1:13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1:13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>
      <c r="L113" s="50" t="str">
        <f>IF(ISERROR(VLOOKUP(B113,טבלאות!$G:$H,2,0)),"",VLOOKUP(B113,טבלאות!$G:$H,2,0))</f>
        <v/>
      </c>
      <c r="M113" s="51" t="str">
        <f t="shared" si="1"/>
        <v/>
      </c>
    </row>
  </sheetData>
  <autoFilter ref="A1:N133" xr:uid="{00000000-0009-0000-0000-000005000000}"/>
  <conditionalFormatting sqref="L2:L113">
    <cfRule type="cellIs" dxfId="10" priority="1" operator="equal">
      <formula>""</formula>
    </cfRule>
  </conditionalFormatting>
  <dataValidations count="2">
    <dataValidation type="list" allowBlank="1" showInputMessage="1" showErrorMessage="1" sqref="L2:L113" xr:uid="{08C884EF-0CF1-48AA-9873-DDBAA9F1BBB6}">
      <formula1>סוגי_הוצאות</formula1>
    </dataValidation>
    <dataValidation type="list" allowBlank="1" showInputMessage="1" showErrorMessage="1" sqref="K2:K113" xr:uid="{53AFD1DC-C88B-4067-B70B-B2F822468A64}">
      <formula1>סוג_כרטיס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G113"/>
  <sheetViews>
    <sheetView rightToLeft="1" zoomScale="110" zoomScaleNormal="110" workbookViewId="0">
      <pane xSplit="3" ySplit="1" topLeftCell="F13" activePane="bottomRight" state="frozen"/>
      <selection pane="topRight" activeCell="D1" sqref="D1"/>
      <selection pane="bottomLeft" activeCell="A2" sqref="A2"/>
      <selection pane="bottomRight" activeCell="M1" sqref="M1:M1048576"/>
    </sheetView>
  </sheetViews>
  <sheetFormatPr defaultRowHeight="15"/>
  <cols>
    <col min="1" max="2" width="16.42578125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1" max="11" width="12.140625" style="73" customWidth="1"/>
    <col min="12" max="12" width="17" style="73" bestFit="1" customWidth="1"/>
    <col min="13" max="13" width="9.140625" style="73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 hidden="1">
      <c r="A2" s="138" t="s">
        <v>1355</v>
      </c>
      <c r="B2" s="138" t="s">
        <v>358</v>
      </c>
      <c r="C2" s="138" t="s">
        <v>1475</v>
      </c>
      <c r="D2" s="139">
        <v>69.900000000000006</v>
      </c>
      <c r="E2" s="138" t="s">
        <v>1367</v>
      </c>
      <c r="F2" s="138" t="s">
        <v>1372</v>
      </c>
      <c r="G2" s="138" t="s">
        <v>1373</v>
      </c>
      <c r="H2" s="138" t="s">
        <v>1476</v>
      </c>
      <c r="I2" s="139">
        <v>69.900000000000006</v>
      </c>
      <c r="J2" s="106"/>
      <c r="K2" t="str">
        <f>IF(A2&gt;0,VLOOKUP(A2,טבלאות!$J:$K,2,0),"")</f>
        <v>אשראי מיכה</v>
      </c>
      <c r="L2" s="50" t="str">
        <f>IF(ISERROR(VLOOKUP(B2,טבלאות!$G:$H,2,0)),"",VLOOKUP(B2,טבלאות!$G:$H,2,0))</f>
        <v>מוצרי חשמל ותקשורת</v>
      </c>
      <c r="M2" s="51">
        <f t="shared" ref="M2:M65" si="0">IF(OR(L2="",L2="?"),"",IF(L2&gt;0,I2,""))</f>
        <v>69.900000000000006</v>
      </c>
    </row>
    <row r="3" spans="1:111" s="36" customFormat="1" ht="19.5" hidden="1" customHeight="1">
      <c r="A3" s="138" t="s">
        <v>1355</v>
      </c>
      <c r="B3" s="138" t="s">
        <v>1241</v>
      </c>
      <c r="C3" s="138" t="s">
        <v>1475</v>
      </c>
      <c r="D3" s="139">
        <v>37</v>
      </c>
      <c r="E3" s="138" t="s">
        <v>1367</v>
      </c>
      <c r="F3" s="138" t="s">
        <v>1368</v>
      </c>
      <c r="G3" s="138" t="s">
        <v>1369</v>
      </c>
      <c r="H3" s="138" t="s">
        <v>1476</v>
      </c>
      <c r="I3" s="139">
        <v>37</v>
      </c>
      <c r="J3" s="106"/>
      <c r="K3" t="str">
        <f>IF(A3&gt;0,VLOOKUP(A3,טבלאות!$J:$K,2,0),"")</f>
        <v>אשראי מיכה</v>
      </c>
      <c r="L3" s="50" t="str">
        <f>IF(ISERROR(VLOOKUP(B3,טבלאות!$G:$H,2,0)),"",VLOOKUP(B3,טבלאות!$G:$H,2,0))</f>
        <v>מוצרי חשמל ותקשורת</v>
      </c>
      <c r="M3" s="51">
        <f t="shared" si="0"/>
        <v>37</v>
      </c>
    </row>
    <row r="4" spans="1:111" ht="15" hidden="1" customHeight="1">
      <c r="A4" s="138" t="s">
        <v>1355</v>
      </c>
      <c r="B4" s="138" t="s">
        <v>518</v>
      </c>
      <c r="C4" s="138" t="s">
        <v>1477</v>
      </c>
      <c r="D4" s="139">
        <v>104.78</v>
      </c>
      <c r="E4" s="138" t="s">
        <v>1367</v>
      </c>
      <c r="F4" s="138" t="s">
        <v>1368</v>
      </c>
      <c r="G4" s="138" t="s">
        <v>1369</v>
      </c>
      <c r="H4" s="138" t="s">
        <v>1476</v>
      </c>
      <c r="I4" s="139">
        <v>104.78</v>
      </c>
      <c r="J4" s="106"/>
      <c r="K4" t="str">
        <f>IF(A4&gt;0,VLOOKUP(A4,טבלאות!$J:$K,2,0),"")</f>
        <v>אשראי מיכה</v>
      </c>
      <c r="L4" s="50" t="str">
        <f>IF(ISERROR(VLOOKUP(B4,טבלאות!$G:$H,2,0)),"",VLOOKUP(B4,טבלאות!$G:$H,2,0))</f>
        <v>מזון ומשקאות</v>
      </c>
      <c r="M4" s="51">
        <f t="shared" si="0"/>
        <v>104.78</v>
      </c>
    </row>
    <row r="5" spans="1:111" ht="15" hidden="1" customHeight="1">
      <c r="A5" s="138" t="s">
        <v>1355</v>
      </c>
      <c r="B5" s="138" t="s">
        <v>116</v>
      </c>
      <c r="C5" s="138" t="s">
        <v>1477</v>
      </c>
      <c r="D5" s="139">
        <v>119</v>
      </c>
      <c r="E5" s="138" t="s">
        <v>1367</v>
      </c>
      <c r="F5" s="138" t="s">
        <v>1368</v>
      </c>
      <c r="G5" s="138" t="s">
        <v>1369</v>
      </c>
      <c r="H5" s="138" t="s">
        <v>1476</v>
      </c>
      <c r="I5" s="139">
        <v>119</v>
      </c>
      <c r="J5" s="106"/>
      <c r="K5" t="str">
        <f>IF(A5&gt;0,VLOOKUP(A5,טבלאות!$J:$K,2,0),"")</f>
        <v>אשראי מיכה</v>
      </c>
      <c r="L5" s="50" t="str">
        <f>IF(ISERROR(VLOOKUP(B5,טבלאות!$G:$H,2,0)),"",VLOOKUP(B5,טבלאות!$G:$H,2,0))</f>
        <v>בית וגן</v>
      </c>
      <c r="M5" s="51">
        <f t="shared" si="0"/>
        <v>119</v>
      </c>
    </row>
    <row r="6" spans="1:111" ht="20.25" hidden="1" customHeight="1">
      <c r="A6" s="138" t="s">
        <v>1355</v>
      </c>
      <c r="B6" s="138" t="s">
        <v>609</v>
      </c>
      <c r="C6" s="138" t="s">
        <v>1477</v>
      </c>
      <c r="D6" s="139">
        <v>108.7</v>
      </c>
      <c r="E6" s="138" t="s">
        <v>1367</v>
      </c>
      <c r="F6" s="138" t="s">
        <v>1368</v>
      </c>
      <c r="G6" s="138" t="s">
        <v>1369</v>
      </c>
      <c r="H6" s="138" t="s">
        <v>1476</v>
      </c>
      <c r="I6" s="139">
        <v>108.7</v>
      </c>
      <c r="J6" s="106"/>
      <c r="K6" t="str">
        <f>IF(A6&gt;0,VLOOKUP(A6,טבלאות!$J:$K,2,0),"")</f>
        <v>אשראי מיכה</v>
      </c>
      <c r="L6" s="50" t="str">
        <f>IF(ISERROR(VLOOKUP(B6,טבלאות!$G:$H,2,0)),"",VLOOKUP(B6,טבלאות!$G:$H,2,0))</f>
        <v>מזון ומשקאות</v>
      </c>
      <c r="M6" s="51">
        <f t="shared" si="0"/>
        <v>108.7</v>
      </c>
      <c r="N6" s="73"/>
    </row>
    <row r="7" spans="1:111" ht="15.75" hidden="1" customHeight="1">
      <c r="A7" s="138" t="s">
        <v>1355</v>
      </c>
      <c r="B7" s="138" t="s">
        <v>82</v>
      </c>
      <c r="C7" s="138" t="s">
        <v>1477</v>
      </c>
      <c r="D7" s="139">
        <v>529</v>
      </c>
      <c r="E7" s="138" t="s">
        <v>1367</v>
      </c>
      <c r="F7" s="138" t="s">
        <v>1368</v>
      </c>
      <c r="G7" s="138" t="s">
        <v>1369</v>
      </c>
      <c r="H7" s="138" t="s">
        <v>1476</v>
      </c>
      <c r="I7" s="139">
        <v>529</v>
      </c>
      <c r="J7" s="106"/>
      <c r="K7" t="str">
        <f>IF(A7&gt;0,VLOOKUP(A7,טבלאות!$J:$K,2,0),"")</f>
        <v>אשראי מיכה</v>
      </c>
      <c r="L7" s="50" t="str">
        <f>IF(ISERROR(VLOOKUP(B7,טבלאות!$G:$H,2,0)),"",VLOOKUP(B7,טבלאות!$G:$H,2,0))</f>
        <v>מתנות ומזכרות</v>
      </c>
      <c r="M7" s="51">
        <f t="shared" si="0"/>
        <v>529</v>
      </c>
    </row>
    <row r="8" spans="1:111" ht="15" hidden="1" customHeight="1">
      <c r="A8" s="138" t="s">
        <v>1355</v>
      </c>
      <c r="B8" s="138" t="s">
        <v>1129</v>
      </c>
      <c r="C8" s="138" t="s">
        <v>1477</v>
      </c>
      <c r="D8" s="139">
        <v>37.299999999999997</v>
      </c>
      <c r="E8" s="138" t="s">
        <v>1367</v>
      </c>
      <c r="F8" s="138" t="s">
        <v>1368</v>
      </c>
      <c r="G8" s="138" t="s">
        <v>1369</v>
      </c>
      <c r="H8" s="138" t="s">
        <v>1476</v>
      </c>
      <c r="I8" s="139">
        <v>37.299999999999997</v>
      </c>
      <c r="J8" s="106"/>
      <c r="K8" t="str">
        <f>IF(A8&gt;0,VLOOKUP(A8,טבלאות!$J:$K,2,0),"")</f>
        <v>אשראי מיכה</v>
      </c>
      <c r="L8" s="50" t="str">
        <f>IF(ISERROR(VLOOKUP(B8,טבלאות!$G:$H,2,0)),"",VLOOKUP(B8,טבלאות!$G:$H,2,0))</f>
        <v>בריאות</v>
      </c>
      <c r="M8" s="51">
        <f t="shared" si="0"/>
        <v>37.299999999999997</v>
      </c>
    </row>
    <row r="9" spans="1:111" ht="15" hidden="1" customHeight="1">
      <c r="A9" s="138" t="s">
        <v>1355</v>
      </c>
      <c r="B9" s="138" t="s">
        <v>1026</v>
      </c>
      <c r="C9" s="138" t="s">
        <v>1478</v>
      </c>
      <c r="D9" s="139">
        <v>145.52000000000001</v>
      </c>
      <c r="E9" s="138" t="s">
        <v>1367</v>
      </c>
      <c r="F9" s="138" t="s">
        <v>1368</v>
      </c>
      <c r="G9" s="138" t="s">
        <v>1375</v>
      </c>
      <c r="H9" s="138" t="s">
        <v>1476</v>
      </c>
      <c r="I9" s="139">
        <v>145.52000000000001</v>
      </c>
      <c r="J9" s="106"/>
      <c r="K9" t="str">
        <f>IF(A9&gt;0,VLOOKUP(A9,טבלאות!$J:$K,2,0),"")</f>
        <v>אשראי מיכה</v>
      </c>
      <c r="L9" s="50" t="str">
        <f>IF(ISERROR(VLOOKUP(B9,טבלאות!$G:$H,2,0)),"",VLOOKUP(B9,טבלאות!$G:$H,2,0))</f>
        <v>רכב ותחבורה</v>
      </c>
      <c r="M9" s="51">
        <f t="shared" si="0"/>
        <v>145.52000000000001</v>
      </c>
      <c r="N9" s="73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 hidden="1">
      <c r="A10" s="138" t="s">
        <v>1355</v>
      </c>
      <c r="B10" s="138" t="s">
        <v>654</v>
      </c>
      <c r="C10" s="138" t="s">
        <v>1478</v>
      </c>
      <c r="D10" s="139">
        <v>40</v>
      </c>
      <c r="E10" s="138" t="s">
        <v>1367</v>
      </c>
      <c r="F10" s="138" t="s">
        <v>1368</v>
      </c>
      <c r="G10" s="138" t="s">
        <v>1369</v>
      </c>
      <c r="H10" s="138" t="s">
        <v>1476</v>
      </c>
      <c r="I10" s="139">
        <v>40</v>
      </c>
      <c r="J10" s="106"/>
      <c r="K10" t="str">
        <f>IF(A10&gt;0,VLOOKUP(A10,טבלאות!$J:$K,2,0),"")</f>
        <v>אשראי מיכה</v>
      </c>
      <c r="L10" s="50" t="str">
        <f>IF(ISERROR(VLOOKUP(B10,טבלאות!$G:$H,2,0)),"",VLOOKUP(B10,טבלאות!$G:$H,2,0))</f>
        <v>ביגוד והנעלה</v>
      </c>
      <c r="M10" s="51">
        <f t="shared" si="0"/>
        <v>40</v>
      </c>
    </row>
    <row r="11" spans="1:111" hidden="1">
      <c r="A11" s="138" t="s">
        <v>1355</v>
      </c>
      <c r="B11" s="138" t="s">
        <v>541</v>
      </c>
      <c r="C11" s="138" t="s">
        <v>1478</v>
      </c>
      <c r="D11" s="139">
        <v>90</v>
      </c>
      <c r="E11" s="138" t="s">
        <v>1367</v>
      </c>
      <c r="F11" s="138" t="s">
        <v>1368</v>
      </c>
      <c r="G11" s="138" t="s">
        <v>1369</v>
      </c>
      <c r="H11" s="138" t="s">
        <v>1476</v>
      </c>
      <c r="I11" s="139">
        <v>90</v>
      </c>
      <c r="J11" s="106"/>
      <c r="K11" t="str">
        <f>IF(A11&gt;0,VLOOKUP(A11,טבלאות!$J:$K,2,0),"")</f>
        <v>אשראי מיכה</v>
      </c>
      <c r="L11" s="50" t="str">
        <f>IF(ISERROR(VLOOKUP(B11,טבלאות!$G:$H,2,0)),"",VLOOKUP(B11,טבלאות!$G:$H,2,0))</f>
        <v>רכב ותחבורה</v>
      </c>
      <c r="M11" s="51">
        <f t="shared" si="0"/>
        <v>90</v>
      </c>
    </row>
    <row r="12" spans="1:111" hidden="1">
      <c r="A12" s="138" t="s">
        <v>764</v>
      </c>
      <c r="B12" s="138" t="s">
        <v>581</v>
      </c>
      <c r="C12" s="138" t="s">
        <v>1478</v>
      </c>
      <c r="D12" s="139">
        <v>130</v>
      </c>
      <c r="E12" s="138" t="s">
        <v>1367</v>
      </c>
      <c r="F12" s="138" t="s">
        <v>1368</v>
      </c>
      <c r="G12" s="138" t="s">
        <v>1479</v>
      </c>
      <c r="H12" s="138" t="s">
        <v>1476</v>
      </c>
      <c r="I12" s="139">
        <v>130</v>
      </c>
      <c r="J12" s="106"/>
      <c r="K12" t="str">
        <f>IF(A12&gt;0,VLOOKUP(A12,טבלאות!$J:$K,2,0),"")</f>
        <v>אשראי אורנה</v>
      </c>
      <c r="L12" s="50" t="str">
        <f>IF(ISERROR(VLOOKUP(B12,טבלאות!$G:$H,2,0)),"",VLOOKUP(B12,טבלאות!$G:$H,2,0))</f>
        <v>חוגים</v>
      </c>
      <c r="M12" s="51">
        <f t="shared" si="0"/>
        <v>130</v>
      </c>
    </row>
    <row r="13" spans="1:111">
      <c r="A13" s="138" t="s">
        <v>764</v>
      </c>
      <c r="B13" s="138" t="s">
        <v>1098</v>
      </c>
      <c r="C13" s="138" t="s">
        <v>1478</v>
      </c>
      <c r="D13" s="139">
        <v>56.76</v>
      </c>
      <c r="E13" s="138" t="s">
        <v>1367</v>
      </c>
      <c r="F13" s="138" t="s">
        <v>1368</v>
      </c>
      <c r="G13" s="138" t="s">
        <v>1375</v>
      </c>
      <c r="H13" s="138" t="s">
        <v>1476</v>
      </c>
      <c r="I13" s="139">
        <v>56.76</v>
      </c>
      <c r="J13" s="106"/>
      <c r="K13" t="str">
        <f>IF(A13&gt;0,VLOOKUP(A13,טבלאות!$J:$K,2,0),"")</f>
        <v>אשראי אורנה</v>
      </c>
      <c r="L13" s="50" t="str">
        <f>IF(ISERROR(VLOOKUP(B13,טבלאות!$G:$H,2,0)),"",VLOOKUP(B13,טבלאות!$G:$H,2,0))</f>
        <v>ביטוח</v>
      </c>
      <c r="M13" s="51">
        <f t="shared" si="0"/>
        <v>56.76</v>
      </c>
    </row>
    <row r="14" spans="1:111" hidden="1">
      <c r="A14" s="138" t="s">
        <v>1355</v>
      </c>
      <c r="B14" s="138" t="s">
        <v>86</v>
      </c>
      <c r="C14" s="138" t="s">
        <v>1480</v>
      </c>
      <c r="D14" s="139">
        <v>138.47</v>
      </c>
      <c r="E14" s="138" t="s">
        <v>1367</v>
      </c>
      <c r="F14" s="138" t="s">
        <v>1368</v>
      </c>
      <c r="G14" s="138" t="s">
        <v>1375</v>
      </c>
      <c r="H14" s="138" t="s">
        <v>1476</v>
      </c>
      <c r="I14" s="139">
        <v>138.47</v>
      </c>
      <c r="J14" s="106"/>
      <c r="K14" t="str">
        <f>IF(A14&gt;0,VLOOKUP(A14,טבלאות!$J:$K,2,0),"")</f>
        <v>אשראי מיכה</v>
      </c>
      <c r="L14" s="50" t="str">
        <f>IF(ISERROR(VLOOKUP(B14,טבלאות!$G:$H,2,0)),"",VLOOKUP(B14,טבלאות!$G:$H,2,0))</f>
        <v>מוצרי חשמל ותקשורת</v>
      </c>
      <c r="M14" s="51">
        <f t="shared" si="0"/>
        <v>138.47</v>
      </c>
    </row>
    <row r="15" spans="1:111">
      <c r="A15" s="138" t="s">
        <v>1355</v>
      </c>
      <c r="B15" s="138" t="s">
        <v>1132</v>
      </c>
      <c r="C15" s="138" t="s">
        <v>1480</v>
      </c>
      <c r="D15" s="139">
        <v>79.77</v>
      </c>
      <c r="E15" s="138" t="s">
        <v>1367</v>
      </c>
      <c r="F15" s="138" t="s">
        <v>1368</v>
      </c>
      <c r="G15" s="138" t="s">
        <v>1375</v>
      </c>
      <c r="H15" s="138" t="s">
        <v>1476</v>
      </c>
      <c r="I15" s="139">
        <v>79.77</v>
      </c>
      <c r="J15" s="106"/>
      <c r="K15" t="str">
        <f>IF(A15&gt;0,VLOOKUP(A15,טבלאות!$J:$K,2,0),"")</f>
        <v>אשראי מיכה</v>
      </c>
      <c r="L15" s="50" t="str">
        <f>IF(ISERROR(VLOOKUP(B15,טבלאות!$G:$H,2,0)),"",VLOOKUP(B15,טבלאות!$G:$H,2,0))</f>
        <v>ביטוח</v>
      </c>
      <c r="M15" s="51">
        <f t="shared" si="0"/>
        <v>79.77</v>
      </c>
    </row>
    <row r="16" spans="1:111" hidden="1">
      <c r="A16" s="138" t="s">
        <v>764</v>
      </c>
      <c r="B16" s="138" t="s">
        <v>137</v>
      </c>
      <c r="C16" s="138" t="s">
        <v>1480</v>
      </c>
      <c r="D16" s="139">
        <v>220.93</v>
      </c>
      <c r="E16" s="138" t="s">
        <v>1367</v>
      </c>
      <c r="F16" s="138" t="s">
        <v>1368</v>
      </c>
      <c r="G16" s="138" t="s">
        <v>1369</v>
      </c>
      <c r="H16" s="138" t="s">
        <v>1476</v>
      </c>
      <c r="I16" s="139">
        <v>220.93</v>
      </c>
      <c r="J16" s="106"/>
      <c r="K16" t="str">
        <f>IF(A16&gt;0,VLOOKUP(A16,טבלאות!$J:$K,2,0),"")</f>
        <v>אשראי אורנה</v>
      </c>
      <c r="L16" s="50" t="str">
        <f>IF(ISERROR(VLOOKUP(B16,טבלאות!$G:$H,2,0)),"",VLOOKUP(B16,טבלאות!$G:$H,2,0))</f>
        <v>רכב ותחבורה</v>
      </c>
      <c r="M16" s="51">
        <f t="shared" si="0"/>
        <v>220.93</v>
      </c>
    </row>
    <row r="17" spans="1:13" hidden="1">
      <c r="A17" s="138" t="s">
        <v>1355</v>
      </c>
      <c r="B17" s="138" t="s">
        <v>373</v>
      </c>
      <c r="C17" s="138" t="s">
        <v>1481</v>
      </c>
      <c r="D17" s="139">
        <v>75.900000000000006</v>
      </c>
      <c r="E17" s="138" t="s">
        <v>1367</v>
      </c>
      <c r="F17" s="138" t="s">
        <v>1368</v>
      </c>
      <c r="G17" s="138" t="s">
        <v>1369</v>
      </c>
      <c r="H17" s="138" t="s">
        <v>1476</v>
      </c>
      <c r="I17" s="139">
        <v>75.900000000000006</v>
      </c>
      <c r="J17" s="106"/>
      <c r="K17" t="str">
        <f>IF(A17&gt;0,VLOOKUP(A17,טבלאות!$J:$K,2,0),"")</f>
        <v>אשראי מיכה</v>
      </c>
      <c r="L17" s="50" t="str">
        <f>IF(ISERROR(VLOOKUP(B17,טבלאות!$G:$H,2,0)),"",VLOOKUP(B17,טבלאות!$G:$H,2,0))</f>
        <v>בריאות</v>
      </c>
      <c r="M17" s="51">
        <f t="shared" si="0"/>
        <v>75.900000000000006</v>
      </c>
    </row>
    <row r="18" spans="1:13" hidden="1">
      <c r="A18" s="138" t="s">
        <v>1355</v>
      </c>
      <c r="B18" s="138" t="s">
        <v>649</v>
      </c>
      <c r="C18" s="138" t="s">
        <v>1481</v>
      </c>
      <c r="D18" s="139">
        <v>79</v>
      </c>
      <c r="E18" s="138" t="s">
        <v>1367</v>
      </c>
      <c r="F18" s="138" t="s">
        <v>1368</v>
      </c>
      <c r="G18" s="138" t="s">
        <v>1369</v>
      </c>
      <c r="H18" s="138" t="s">
        <v>1476</v>
      </c>
      <c r="I18" s="139">
        <v>79</v>
      </c>
      <c r="J18" s="106"/>
      <c r="K18" t="str">
        <f>IF(A18&gt;0,VLOOKUP(A18,טבלאות!$J:$K,2,0),"")</f>
        <v>אשראי מיכה</v>
      </c>
      <c r="L18" s="50" t="str">
        <f>IF(ISERROR(VLOOKUP(B18,טבלאות!$G:$H,2,0)),"",VLOOKUP(B18,טבלאות!$G:$H,2,0))</f>
        <v>מזון ומשקאות</v>
      </c>
      <c r="M18" s="51">
        <f t="shared" si="0"/>
        <v>79</v>
      </c>
    </row>
    <row r="19" spans="1:13" hidden="1">
      <c r="A19" s="138" t="s">
        <v>1355</v>
      </c>
      <c r="B19" s="138" t="s">
        <v>966</v>
      </c>
      <c r="C19" s="138" t="s">
        <v>1481</v>
      </c>
      <c r="D19" s="139">
        <v>831.85</v>
      </c>
      <c r="E19" s="138" t="s">
        <v>1367</v>
      </c>
      <c r="F19" s="138" t="s">
        <v>1368</v>
      </c>
      <c r="G19" s="138" t="s">
        <v>1369</v>
      </c>
      <c r="H19" s="138" t="s">
        <v>1476</v>
      </c>
      <c r="I19" s="139">
        <v>831.85</v>
      </c>
      <c r="J19" s="106"/>
      <c r="K19" t="str">
        <f>IF(A19&gt;0,VLOOKUP(A19,טבלאות!$J:$K,2,0),"")</f>
        <v>אשראי מיכה</v>
      </c>
      <c r="L19" s="50" t="str">
        <f>IF(ISERROR(VLOOKUP(B19,טבלאות!$G:$H,2,0)),"",VLOOKUP(B19,טבלאות!$G:$H,2,0))</f>
        <v>מזון ומשקאות</v>
      </c>
      <c r="M19" s="51">
        <f t="shared" si="0"/>
        <v>831.85</v>
      </c>
    </row>
    <row r="20" spans="1:13" hidden="1">
      <c r="A20" s="138" t="s">
        <v>764</v>
      </c>
      <c r="B20" s="138" t="s">
        <v>518</v>
      </c>
      <c r="C20" s="138" t="s">
        <v>1481</v>
      </c>
      <c r="D20" s="139">
        <v>143.31</v>
      </c>
      <c r="E20" s="138" t="s">
        <v>1367</v>
      </c>
      <c r="F20" s="138" t="s">
        <v>1368</v>
      </c>
      <c r="G20" s="138" t="s">
        <v>1369</v>
      </c>
      <c r="H20" s="138" t="s">
        <v>1476</v>
      </c>
      <c r="I20" s="139">
        <v>143.31</v>
      </c>
      <c r="J20" s="106"/>
      <c r="K20" t="str">
        <f>IF(A20&gt;0,VLOOKUP(A20,טבלאות!$J:$K,2,0),"")</f>
        <v>אשראי אורנה</v>
      </c>
      <c r="L20" s="50" t="str">
        <f>IF(ISERROR(VLOOKUP(B20,טבלאות!$G:$H,2,0)),"",VLOOKUP(B20,טבלאות!$G:$H,2,0))</f>
        <v>מזון ומשקאות</v>
      </c>
      <c r="M20" s="51">
        <f t="shared" si="0"/>
        <v>143.31</v>
      </c>
    </row>
    <row r="21" spans="1:13" hidden="1">
      <c r="A21" s="138" t="s">
        <v>764</v>
      </c>
      <c r="B21" s="138" t="s">
        <v>581</v>
      </c>
      <c r="C21" s="138" t="s">
        <v>1481</v>
      </c>
      <c r="D21" s="139">
        <v>100</v>
      </c>
      <c r="E21" s="138" t="s">
        <v>1367</v>
      </c>
      <c r="F21" s="138" t="s">
        <v>1368</v>
      </c>
      <c r="G21" s="138" t="s">
        <v>1427</v>
      </c>
      <c r="H21" s="138" t="s">
        <v>1476</v>
      </c>
      <c r="I21" s="139">
        <v>100</v>
      </c>
      <c r="J21" s="106"/>
      <c r="K21" t="str">
        <f>IF(A21&gt;0,VLOOKUP(A21,טבלאות!$J:$K,2,0),"")</f>
        <v>אשראי אורנה</v>
      </c>
      <c r="L21" s="50" t="str">
        <f>IF(ISERROR(VLOOKUP(B21,טבלאות!$G:$H,2,0)),"",VLOOKUP(B21,טבלאות!$G:$H,2,0))</f>
        <v>חוגים</v>
      </c>
      <c r="M21" s="51">
        <f t="shared" si="0"/>
        <v>100</v>
      </c>
    </row>
    <row r="22" spans="1:13" hidden="1">
      <c r="A22" s="138" t="s">
        <v>764</v>
      </c>
      <c r="B22" s="138" t="s">
        <v>581</v>
      </c>
      <c r="C22" s="138" t="s">
        <v>1481</v>
      </c>
      <c r="D22" s="139">
        <v>130</v>
      </c>
      <c r="E22" s="138" t="s">
        <v>1367</v>
      </c>
      <c r="F22" s="138" t="s">
        <v>1368</v>
      </c>
      <c r="G22" s="138" t="s">
        <v>1479</v>
      </c>
      <c r="H22" s="138" t="s">
        <v>1476</v>
      </c>
      <c r="I22" s="139">
        <v>130</v>
      </c>
      <c r="J22" s="106"/>
      <c r="K22" t="str">
        <f>IF(A22&gt;0,VLOOKUP(A22,טבלאות!$J:$K,2,0),"")</f>
        <v>אשראי אורנה</v>
      </c>
      <c r="L22" s="50" t="str">
        <f>IF(ISERROR(VLOOKUP(B22,טבלאות!$G:$H,2,0)),"",VLOOKUP(B22,טבלאות!$G:$H,2,0))</f>
        <v>חוגים</v>
      </c>
      <c r="M22" s="51">
        <f t="shared" si="0"/>
        <v>130</v>
      </c>
    </row>
    <row r="23" spans="1:13" hidden="1">
      <c r="A23" s="138" t="s">
        <v>764</v>
      </c>
      <c r="B23" s="138" t="s">
        <v>518</v>
      </c>
      <c r="C23" s="138" t="s">
        <v>1481</v>
      </c>
      <c r="D23" s="139">
        <v>15.9</v>
      </c>
      <c r="E23" s="138" t="s">
        <v>1367</v>
      </c>
      <c r="F23" s="138" t="s">
        <v>1368</v>
      </c>
      <c r="G23" s="138" t="s">
        <v>1369</v>
      </c>
      <c r="H23" s="138" t="s">
        <v>1476</v>
      </c>
      <c r="I23" s="139">
        <v>15.9</v>
      </c>
      <c r="J23" s="106"/>
      <c r="K23" t="str">
        <f>IF(A23&gt;0,VLOOKUP(A23,טבלאות!$J:$K,2,0),"")</f>
        <v>אשראי אורנה</v>
      </c>
      <c r="L23" s="50" t="str">
        <f>IF(ISERROR(VLOOKUP(B23,טבלאות!$G:$H,2,0)),"",VLOOKUP(B23,טבלאות!$G:$H,2,0))</f>
        <v>מזון ומשקאות</v>
      </c>
      <c r="M23" s="51">
        <f t="shared" si="0"/>
        <v>15.9</v>
      </c>
    </row>
    <row r="24" spans="1:13" hidden="1">
      <c r="A24" s="138" t="s">
        <v>764</v>
      </c>
      <c r="B24" s="138" t="s">
        <v>440</v>
      </c>
      <c r="C24" s="138" t="s">
        <v>1481</v>
      </c>
      <c r="D24" s="139">
        <v>395</v>
      </c>
      <c r="E24" s="138" t="s">
        <v>1367</v>
      </c>
      <c r="F24" s="138" t="s">
        <v>1368</v>
      </c>
      <c r="G24" s="138" t="s">
        <v>1369</v>
      </c>
      <c r="H24" s="138" t="s">
        <v>1476</v>
      </c>
      <c r="I24" s="139">
        <v>395</v>
      </c>
      <c r="J24" s="106"/>
      <c r="K24" t="str">
        <f>IF(A24&gt;0,VLOOKUP(A24,טבלאות!$J:$K,2,0),"")</f>
        <v>אשראי אורנה</v>
      </c>
      <c r="L24" s="50" t="str">
        <f>IF(ISERROR(VLOOKUP(B24,טבלאות!$G:$H,2,0)),"",VLOOKUP(B24,טבלאות!$G:$H,2,0))</f>
        <v>ילדים</v>
      </c>
      <c r="M24" s="51">
        <f t="shared" si="0"/>
        <v>395</v>
      </c>
    </row>
    <row r="25" spans="1:13" hidden="1">
      <c r="A25" s="138" t="s">
        <v>1355</v>
      </c>
      <c r="B25" s="138" t="s">
        <v>76</v>
      </c>
      <c r="C25" s="138" t="s">
        <v>1482</v>
      </c>
      <c r="D25" s="139">
        <v>69.709999999999994</v>
      </c>
      <c r="E25" s="138" t="s">
        <v>1367</v>
      </c>
      <c r="F25" s="138" t="s">
        <v>1368</v>
      </c>
      <c r="G25" s="138" t="s">
        <v>1375</v>
      </c>
      <c r="H25" s="138" t="s">
        <v>1476</v>
      </c>
      <c r="I25" s="139">
        <v>69.709999999999994</v>
      </c>
      <c r="J25" s="106"/>
      <c r="K25" t="str">
        <f>IF(A25&gt;0,VLOOKUP(A25,טבלאות!$J:$K,2,0),"")</f>
        <v>אשראי מיכה</v>
      </c>
      <c r="L25" s="50" t="str">
        <f>IF(ISERROR(VLOOKUP(B25,טבלאות!$G:$H,2,0)),"",VLOOKUP(B25,טבלאות!$G:$H,2,0))</f>
        <v>בריאות</v>
      </c>
      <c r="M25" s="51">
        <f t="shared" si="0"/>
        <v>69.709999999999994</v>
      </c>
    </row>
    <row r="26" spans="1:13" hidden="1">
      <c r="A26" s="138" t="s">
        <v>1355</v>
      </c>
      <c r="B26" s="138" t="s">
        <v>1212</v>
      </c>
      <c r="C26" s="138" t="s">
        <v>1482</v>
      </c>
      <c r="D26" s="139">
        <v>127.86</v>
      </c>
      <c r="E26" s="138" t="s">
        <v>1367</v>
      </c>
      <c r="F26" s="138" t="s">
        <v>1368</v>
      </c>
      <c r="G26" s="138" t="s">
        <v>1375</v>
      </c>
      <c r="H26" s="138" t="s">
        <v>1476</v>
      </c>
      <c r="I26" s="139">
        <v>127.86</v>
      </c>
      <c r="J26" s="106"/>
      <c r="K26" t="str">
        <f>IF(A26&gt;0,VLOOKUP(A26,טבלאות!$J:$K,2,0),"")</f>
        <v>אשראי מיכה</v>
      </c>
      <c r="L26" s="50" t="str">
        <f>IF(ISERROR(VLOOKUP(B26,טבלאות!$G:$H,2,0)),"",VLOOKUP(B26,טבלאות!$G:$H,2,0))</f>
        <v>בריאות</v>
      </c>
      <c r="M26" s="51">
        <f t="shared" si="0"/>
        <v>127.86</v>
      </c>
    </row>
    <row r="27" spans="1:13" hidden="1">
      <c r="A27" s="138" t="s">
        <v>1355</v>
      </c>
      <c r="B27" s="138" t="s">
        <v>940</v>
      </c>
      <c r="C27" s="138" t="s">
        <v>1483</v>
      </c>
      <c r="D27" s="139">
        <v>50</v>
      </c>
      <c r="E27" s="138" t="s">
        <v>1367</v>
      </c>
      <c r="F27" s="138" t="s">
        <v>1372</v>
      </c>
      <c r="G27" s="138" t="s">
        <v>1484</v>
      </c>
      <c r="H27" s="138" t="s">
        <v>1476</v>
      </c>
      <c r="I27" s="139">
        <v>50</v>
      </c>
      <c r="J27" s="105"/>
      <c r="K27" t="str">
        <f>IF(A27&gt;0,VLOOKUP(A27,טבלאות!$J:$K,2,0),"")</f>
        <v>אשראי מיכה</v>
      </c>
      <c r="L27" s="50" t="str">
        <f>IF(ISERROR(VLOOKUP(B27,טבלאות!$G:$H,2,0)),"",VLOOKUP(B27,טבלאות!$G:$H,2,0))</f>
        <v>מתנות ומזכרות</v>
      </c>
      <c r="M27" s="51">
        <f t="shared" si="0"/>
        <v>50</v>
      </c>
    </row>
    <row r="28" spans="1:13" hidden="1">
      <c r="A28" s="138" t="s">
        <v>764</v>
      </c>
      <c r="B28" s="138" t="s">
        <v>940</v>
      </c>
      <c r="C28" s="138" t="s">
        <v>1483</v>
      </c>
      <c r="D28" s="139">
        <v>750</v>
      </c>
      <c r="E28" s="138" t="s">
        <v>1367</v>
      </c>
      <c r="F28" s="138" t="s">
        <v>1372</v>
      </c>
      <c r="G28" s="138" t="s">
        <v>1484</v>
      </c>
      <c r="H28" s="138" t="s">
        <v>1476</v>
      </c>
      <c r="I28" s="139">
        <v>750</v>
      </c>
      <c r="J28" s="106"/>
      <c r="K28" t="str">
        <f>IF(A28&gt;0,VLOOKUP(A28,טבלאות!$J:$K,2,0),"")</f>
        <v>אשראי אורנה</v>
      </c>
      <c r="L28" s="50" t="str">
        <f>IF(ISERROR(VLOOKUP(B28,טבלאות!$G:$H,2,0)),"",VLOOKUP(B28,טבלאות!$G:$H,2,0))</f>
        <v>מתנות ומזכרות</v>
      </c>
      <c r="M28" s="51">
        <f t="shared" si="0"/>
        <v>750</v>
      </c>
    </row>
    <row r="29" spans="1:13" hidden="1">
      <c r="A29" s="138" t="s">
        <v>764</v>
      </c>
      <c r="B29" s="138" t="s">
        <v>741</v>
      </c>
      <c r="C29" s="138" t="s">
        <v>1485</v>
      </c>
      <c r="D29" s="139">
        <v>163.44999999999999</v>
      </c>
      <c r="E29" s="138" t="s">
        <v>1367</v>
      </c>
      <c r="F29" s="138" t="s">
        <v>1368</v>
      </c>
      <c r="G29" s="138" t="s">
        <v>1375</v>
      </c>
      <c r="H29" s="138" t="s">
        <v>1476</v>
      </c>
      <c r="I29" s="139">
        <v>163.44999999999999</v>
      </c>
      <c r="J29" s="106"/>
      <c r="K29" t="str">
        <f>IF(A29&gt;0,VLOOKUP(A29,טבלאות!$J:$K,2,0),"")</f>
        <v>אשראי אורנה</v>
      </c>
      <c r="L29" s="50" t="str">
        <f>IF(ISERROR(VLOOKUP(B29,טבלאות!$G:$H,2,0)),"",VLOOKUP(B29,טבלאות!$G:$H,2,0))</f>
        <v>מוצרי חשמל ותקשורת</v>
      </c>
      <c r="M29" s="51">
        <f t="shared" si="0"/>
        <v>163.44999999999999</v>
      </c>
    </row>
    <row r="30" spans="1:13" hidden="1">
      <c r="A30" s="138" t="s">
        <v>1355</v>
      </c>
      <c r="B30" s="138" t="s">
        <v>1486</v>
      </c>
      <c r="C30" s="138" t="s">
        <v>1487</v>
      </c>
      <c r="D30" s="140">
        <v>3.6</v>
      </c>
      <c r="E30" s="138" t="s">
        <v>1367</v>
      </c>
      <c r="F30" s="138" t="s">
        <v>1372</v>
      </c>
      <c r="G30" s="138" t="s">
        <v>1488</v>
      </c>
      <c r="H30" s="138" t="s">
        <v>1489</v>
      </c>
      <c r="I30" s="139">
        <v>13.62</v>
      </c>
      <c r="J30" s="106"/>
      <c r="K30" t="str">
        <f>IF(A30&gt;0,VLOOKUP(A30,טבלאות!$J:$K,2,0),"")</f>
        <v>אשראי מיכה</v>
      </c>
      <c r="L30" s="50" t="str">
        <f>IF(ISERROR(VLOOKUP(B30,טבלאות!$G:$H,2,0)),"",VLOOKUP(B30,טבלאות!$G:$H,2,0))</f>
        <v>נופש</v>
      </c>
      <c r="M30" s="51">
        <f t="shared" si="0"/>
        <v>13.62</v>
      </c>
    </row>
    <row r="31" spans="1:13" hidden="1">
      <c r="A31" s="138" t="s">
        <v>1355</v>
      </c>
      <c r="B31" s="138" t="s">
        <v>1490</v>
      </c>
      <c r="C31" s="138" t="s">
        <v>1491</v>
      </c>
      <c r="D31" s="139">
        <v>147.52000000000001</v>
      </c>
      <c r="E31" s="138" t="s">
        <v>1367</v>
      </c>
      <c r="F31" s="138" t="s">
        <v>1372</v>
      </c>
      <c r="G31" s="138" t="s">
        <v>1492</v>
      </c>
      <c r="H31" s="138" t="s">
        <v>1476</v>
      </c>
      <c r="I31" s="139">
        <v>147.52000000000001</v>
      </c>
      <c r="J31" s="106"/>
      <c r="K31" t="str">
        <f>IF(A31&gt;0,VLOOKUP(A31,טבלאות!$J:$K,2,0),"")</f>
        <v>אשראי מיכה</v>
      </c>
      <c r="L31" s="50" t="str">
        <f>IF(ISERROR(VLOOKUP(B31,טבלאות!$G:$H,2,0)),"",VLOOKUP(B31,טבלאות!$G:$H,2,0))</f>
        <v>נופש</v>
      </c>
      <c r="M31" s="51">
        <f t="shared" si="0"/>
        <v>147.52000000000001</v>
      </c>
    </row>
    <row r="32" spans="1:13" hidden="1">
      <c r="A32" s="138" t="s">
        <v>1355</v>
      </c>
      <c r="B32" s="138" t="s">
        <v>1173</v>
      </c>
      <c r="C32" s="138" t="s">
        <v>1491</v>
      </c>
      <c r="D32" s="139">
        <v>63.82</v>
      </c>
      <c r="E32" s="138" t="s">
        <v>1367</v>
      </c>
      <c r="F32" s="138" t="s">
        <v>1372</v>
      </c>
      <c r="G32" s="138" t="s">
        <v>1396</v>
      </c>
      <c r="H32" s="138" t="s">
        <v>1476</v>
      </c>
      <c r="I32" s="139">
        <v>63.82</v>
      </c>
      <c r="J32" s="106"/>
      <c r="K32" t="str">
        <f>IF(A32&gt;0,VLOOKUP(A32,טבלאות!$J:$K,2,0),"")</f>
        <v>אשראי מיכה</v>
      </c>
      <c r="L32" s="50" t="str">
        <f>IF(ISERROR(VLOOKUP(B32,טבלאות!$G:$H,2,0)),"",VLOOKUP(B32,טבלאות!$G:$H,2,0))</f>
        <v>בית וגן</v>
      </c>
      <c r="M32" s="51">
        <f t="shared" si="0"/>
        <v>63.82</v>
      </c>
    </row>
    <row r="33" spans="1:13" hidden="1">
      <c r="A33" s="138" t="s">
        <v>764</v>
      </c>
      <c r="B33" s="138" t="s">
        <v>66</v>
      </c>
      <c r="C33" s="138" t="s">
        <v>1491</v>
      </c>
      <c r="D33" s="139">
        <v>873.54</v>
      </c>
      <c r="E33" s="138" t="s">
        <v>1367</v>
      </c>
      <c r="F33" s="138" t="s">
        <v>1368</v>
      </c>
      <c r="G33" s="138" t="s">
        <v>1375</v>
      </c>
      <c r="H33" s="138" t="s">
        <v>1476</v>
      </c>
      <c r="I33" s="139">
        <v>873.54</v>
      </c>
      <c r="J33" s="106"/>
      <c r="K33" t="str">
        <f>IF(A33&gt;0,VLOOKUP(A33,טבלאות!$J:$K,2,0),"")</f>
        <v>אשראי אורנה</v>
      </c>
      <c r="L33" s="50" t="str">
        <f>IF(ISERROR(VLOOKUP(B33,טבלאות!$G:$H,2,0)),"",VLOOKUP(B33,טבלאות!$G:$H,2,0))</f>
        <v>מוצרי חשמל ותקשורת</v>
      </c>
      <c r="M33" s="51">
        <f t="shared" si="0"/>
        <v>873.54</v>
      </c>
    </row>
    <row r="34" spans="1:13" hidden="1">
      <c r="A34" s="138" t="s">
        <v>1355</v>
      </c>
      <c r="B34" s="138" t="s">
        <v>918</v>
      </c>
      <c r="C34" s="138" t="s">
        <v>1493</v>
      </c>
      <c r="D34" s="139">
        <v>466.04</v>
      </c>
      <c r="E34" s="138" t="s">
        <v>1367</v>
      </c>
      <c r="F34" s="138" t="s">
        <v>1368</v>
      </c>
      <c r="G34" s="138" t="s">
        <v>1369</v>
      </c>
      <c r="H34" s="138" t="s">
        <v>1476</v>
      </c>
      <c r="I34" s="139">
        <v>466.04</v>
      </c>
      <c r="J34" s="106"/>
      <c r="K34" t="str">
        <f>IF(A34&gt;0,VLOOKUP(A34,טבלאות!$J:$K,2,0),"")</f>
        <v>אשראי מיכה</v>
      </c>
      <c r="L34" s="50" t="str">
        <f>IF(ISERROR(VLOOKUP(B34,טבלאות!$G:$H,2,0)),"",VLOOKUP(B34,טבלאות!$G:$H,2,0))</f>
        <v>נופש</v>
      </c>
      <c r="M34" s="51">
        <f t="shared" si="0"/>
        <v>466.04</v>
      </c>
    </row>
    <row r="35" spans="1:13" hidden="1">
      <c r="A35" s="138" t="s">
        <v>1355</v>
      </c>
      <c r="B35" s="138" t="s">
        <v>1494</v>
      </c>
      <c r="C35" s="138" t="s">
        <v>1493</v>
      </c>
      <c r="D35" s="139">
        <v>34</v>
      </c>
      <c r="E35" s="138" t="s">
        <v>1367</v>
      </c>
      <c r="F35" s="138" t="s">
        <v>1368</v>
      </c>
      <c r="G35" s="138" t="s">
        <v>1369</v>
      </c>
      <c r="H35" s="138" t="s">
        <v>1476</v>
      </c>
      <c r="I35" s="139">
        <v>34</v>
      </c>
      <c r="J35" s="106"/>
      <c r="K35" t="str">
        <f>IF(A35&gt;0,VLOOKUP(A35,טבלאות!$J:$K,2,0),"")</f>
        <v>אשראי מיכה</v>
      </c>
      <c r="L35" s="50" t="str">
        <f>IF(ISERROR(VLOOKUP(B35,טבלאות!$G:$H,2,0)),"",VLOOKUP(B35,טבלאות!$G:$H,2,0))</f>
        <v>נופש</v>
      </c>
      <c r="M35" s="51">
        <f t="shared" si="0"/>
        <v>34</v>
      </c>
    </row>
    <row r="36" spans="1:13" hidden="1">
      <c r="A36" s="138" t="s">
        <v>764</v>
      </c>
      <c r="B36" s="138" t="s">
        <v>440</v>
      </c>
      <c r="C36" s="138" t="s">
        <v>1493</v>
      </c>
      <c r="D36" s="139">
        <v>135</v>
      </c>
      <c r="E36" s="138" t="s">
        <v>1367</v>
      </c>
      <c r="F36" s="138" t="s">
        <v>1368</v>
      </c>
      <c r="G36" s="138" t="s">
        <v>1369</v>
      </c>
      <c r="H36" s="138" t="s">
        <v>1476</v>
      </c>
      <c r="I36" s="139">
        <v>135</v>
      </c>
      <c r="J36" s="106"/>
      <c r="K36" t="str">
        <f>IF(A36&gt;0,VLOOKUP(A36,טבלאות!$J:$K,2,0),"")</f>
        <v>אשראי אורנה</v>
      </c>
      <c r="L36" s="50" t="str">
        <f>IF(ISERROR(VLOOKUP(B36,טבלאות!$G:$H,2,0)),"",VLOOKUP(B36,טבלאות!$G:$H,2,0))</f>
        <v>ילדים</v>
      </c>
      <c r="M36" s="51">
        <f t="shared" si="0"/>
        <v>135</v>
      </c>
    </row>
    <row r="37" spans="1:13" hidden="1">
      <c r="A37" s="138" t="s">
        <v>1355</v>
      </c>
      <c r="B37" s="138" t="s">
        <v>830</v>
      </c>
      <c r="C37" s="138" t="s">
        <v>1495</v>
      </c>
      <c r="D37" s="139">
        <v>117</v>
      </c>
      <c r="E37" s="138" t="s">
        <v>1367</v>
      </c>
      <c r="F37" s="138" t="s">
        <v>1368</v>
      </c>
      <c r="G37" s="138" t="s">
        <v>1369</v>
      </c>
      <c r="H37" s="138" t="s">
        <v>1476</v>
      </c>
      <c r="I37" s="139">
        <v>117</v>
      </c>
      <c r="J37" s="106"/>
      <c r="K37" t="str">
        <f>IF(A37&gt;0,VLOOKUP(A37,טבלאות!$J:$K,2,0),"")</f>
        <v>אשראי מיכה</v>
      </c>
      <c r="L37" s="50" t="str">
        <f>IF(ISERROR(VLOOKUP(B37,טבלאות!$G:$H,2,0)),"",VLOOKUP(B37,טבלאות!$G:$H,2,0))</f>
        <v>בית וגן</v>
      </c>
      <c r="M37" s="51">
        <f t="shared" si="0"/>
        <v>117</v>
      </c>
    </row>
    <row r="38" spans="1:13" hidden="1">
      <c r="A38" s="138" t="s">
        <v>1355</v>
      </c>
      <c r="B38" s="138" t="s">
        <v>638</v>
      </c>
      <c r="C38" s="138" t="s">
        <v>1495</v>
      </c>
      <c r="D38" s="139">
        <v>35.9</v>
      </c>
      <c r="E38" s="138" t="s">
        <v>1367</v>
      </c>
      <c r="F38" s="138" t="s">
        <v>1368</v>
      </c>
      <c r="G38" s="138" t="s">
        <v>1369</v>
      </c>
      <c r="H38" s="138" t="s">
        <v>1476</v>
      </c>
      <c r="I38" s="139">
        <v>35.9</v>
      </c>
      <c r="J38" s="106"/>
      <c r="K38" t="str">
        <f>IF(A38&gt;0,VLOOKUP(A38,טבלאות!$J:$K,2,0),"")</f>
        <v>אשראי מיכה</v>
      </c>
      <c r="L38" s="50" t="str">
        <f>IF(ISERROR(VLOOKUP(B38,טבלאות!$G:$H,2,0)),"",VLOOKUP(B38,טבלאות!$G:$H,2,0))</f>
        <v>מזון ומשקאות</v>
      </c>
      <c r="M38" s="51">
        <f t="shared" si="0"/>
        <v>35.9</v>
      </c>
    </row>
    <row r="39" spans="1:13" hidden="1">
      <c r="A39" s="138" t="s">
        <v>1355</v>
      </c>
      <c r="B39" s="138" t="s">
        <v>942</v>
      </c>
      <c r="C39" s="138" t="s">
        <v>1495</v>
      </c>
      <c r="D39" s="139">
        <v>30</v>
      </c>
      <c r="E39" s="138" t="s">
        <v>1367</v>
      </c>
      <c r="F39" s="138" t="s">
        <v>1368</v>
      </c>
      <c r="G39" s="138" t="s">
        <v>1369</v>
      </c>
      <c r="H39" s="138" t="s">
        <v>1476</v>
      </c>
      <c r="I39" s="139">
        <v>30</v>
      </c>
      <c r="J39" s="106"/>
      <c r="K39" t="str">
        <f>IF(A39&gt;0,VLOOKUP(A39,טבלאות!$J:$K,2,0),"")</f>
        <v>אשראי מיכה</v>
      </c>
      <c r="L39" s="50" t="str">
        <f>IF(ISERROR(VLOOKUP(B39,טבלאות!$G:$H,2,0)),"",VLOOKUP(B39,טבלאות!$G:$H,2,0))</f>
        <v>רכב ותחבורה</v>
      </c>
      <c r="M39" s="51">
        <f t="shared" si="0"/>
        <v>30</v>
      </c>
    </row>
    <row r="40" spans="1:13" hidden="1">
      <c r="A40" s="138" t="s">
        <v>1355</v>
      </c>
      <c r="B40" s="138" t="s">
        <v>906</v>
      </c>
      <c r="C40" s="138" t="s">
        <v>1496</v>
      </c>
      <c r="D40" s="139">
        <v>20.9</v>
      </c>
      <c r="E40" s="138" t="s">
        <v>1367</v>
      </c>
      <c r="F40" s="138" t="s">
        <v>1368</v>
      </c>
      <c r="G40" s="138" t="s">
        <v>1369</v>
      </c>
      <c r="H40" s="138" t="s">
        <v>1476</v>
      </c>
      <c r="I40" s="139">
        <v>20.9</v>
      </c>
      <c r="J40" s="106"/>
      <c r="K40" t="str">
        <f>IF(A40&gt;0,VLOOKUP(A40,טבלאות!$J:$K,2,0),"")</f>
        <v>אשראי מיכה</v>
      </c>
      <c r="L40" s="50" t="str">
        <f>IF(ISERROR(VLOOKUP(B40,טבלאות!$G:$H,2,0)),"",VLOOKUP(B40,טבלאות!$G:$H,2,0))</f>
        <v>בית וגן</v>
      </c>
      <c r="M40" s="51">
        <f t="shared" si="0"/>
        <v>20.9</v>
      </c>
    </row>
    <row r="41" spans="1:13" hidden="1">
      <c r="A41" s="138" t="s">
        <v>1355</v>
      </c>
      <c r="B41" s="138" t="s">
        <v>541</v>
      </c>
      <c r="C41" s="138" t="s">
        <v>1496</v>
      </c>
      <c r="D41" s="139">
        <v>90</v>
      </c>
      <c r="E41" s="138" t="s">
        <v>1367</v>
      </c>
      <c r="F41" s="138" t="s">
        <v>1368</v>
      </c>
      <c r="G41" s="138" t="s">
        <v>1369</v>
      </c>
      <c r="H41" s="138" t="s">
        <v>1476</v>
      </c>
      <c r="I41" s="139">
        <v>90</v>
      </c>
      <c r="J41" s="106"/>
      <c r="K41" t="str">
        <f>IF(A41&gt;0,VLOOKUP(A41,טבלאות!$J:$K,2,0),"")</f>
        <v>אשראי מיכה</v>
      </c>
      <c r="L41" s="50" t="str">
        <f>IF(ISERROR(VLOOKUP(B41,טבלאות!$G:$H,2,0)),"",VLOOKUP(B41,טבלאות!$G:$H,2,0))</f>
        <v>רכב ותחבורה</v>
      </c>
      <c r="M41" s="51">
        <f t="shared" si="0"/>
        <v>90</v>
      </c>
    </row>
    <row r="42" spans="1:13" hidden="1">
      <c r="A42" s="138" t="s">
        <v>1355</v>
      </c>
      <c r="B42" s="138" t="s">
        <v>649</v>
      </c>
      <c r="C42" s="138" t="s">
        <v>1496</v>
      </c>
      <c r="D42" s="139">
        <v>72</v>
      </c>
      <c r="E42" s="138" t="s">
        <v>1367</v>
      </c>
      <c r="F42" s="138" t="s">
        <v>1368</v>
      </c>
      <c r="G42" s="138" t="s">
        <v>1369</v>
      </c>
      <c r="H42" s="138" t="s">
        <v>1476</v>
      </c>
      <c r="I42" s="139">
        <v>72</v>
      </c>
      <c r="J42" s="106"/>
      <c r="K42" t="str">
        <f>IF(A42&gt;0,VLOOKUP(A42,טבלאות!$J:$K,2,0),"")</f>
        <v>אשראי מיכה</v>
      </c>
      <c r="L42" s="50" t="str">
        <f>IF(ISERROR(VLOOKUP(B42,טבלאות!$G:$H,2,0)),"",VLOOKUP(B42,טבלאות!$G:$H,2,0))</f>
        <v>מזון ומשקאות</v>
      </c>
      <c r="M42" s="51">
        <f t="shared" si="0"/>
        <v>72</v>
      </c>
    </row>
    <row r="43" spans="1:13" hidden="1">
      <c r="A43" s="138" t="s">
        <v>1355</v>
      </c>
      <c r="B43" s="138" t="s">
        <v>966</v>
      </c>
      <c r="C43" s="138" t="s">
        <v>1496</v>
      </c>
      <c r="D43" s="139">
        <v>359.44</v>
      </c>
      <c r="E43" s="138" t="s">
        <v>1367</v>
      </c>
      <c r="F43" s="138" t="s">
        <v>1368</v>
      </c>
      <c r="G43" s="138" t="s">
        <v>1369</v>
      </c>
      <c r="H43" s="138" t="s">
        <v>1476</v>
      </c>
      <c r="I43" s="139">
        <v>359.44</v>
      </c>
      <c r="J43" s="106"/>
      <c r="K43" t="str">
        <f>IF(A43&gt;0,VLOOKUP(A43,טבלאות!$J:$K,2,0),"")</f>
        <v>אשראי מיכה</v>
      </c>
      <c r="L43" s="50" t="str">
        <f>IF(ISERROR(VLOOKUP(B43,טבלאות!$G:$H,2,0)),"",VLOOKUP(B43,טבלאות!$G:$H,2,0))</f>
        <v>מזון ומשקאות</v>
      </c>
      <c r="M43" s="51">
        <f t="shared" si="0"/>
        <v>359.44</v>
      </c>
    </row>
    <row r="44" spans="1:13" hidden="1">
      <c r="A44" s="138" t="s">
        <v>1355</v>
      </c>
      <c r="B44" s="138" t="s">
        <v>1216</v>
      </c>
      <c r="C44" s="138" t="s">
        <v>1496</v>
      </c>
      <c r="D44" s="139">
        <v>49.9</v>
      </c>
      <c r="E44" s="138" t="s">
        <v>1367</v>
      </c>
      <c r="F44" s="138" t="s">
        <v>1368</v>
      </c>
      <c r="G44" s="138" t="s">
        <v>1369</v>
      </c>
      <c r="H44" s="138" t="s">
        <v>1476</v>
      </c>
      <c r="I44" s="139">
        <v>49.9</v>
      </c>
      <c r="J44" s="106"/>
      <c r="K44" t="str">
        <f>IF(A44&gt;0,VLOOKUP(A44,טבלאות!$J:$K,2,0),"")</f>
        <v>אשראי מיכה</v>
      </c>
      <c r="L44" s="50" t="str">
        <f>IF(ISERROR(VLOOKUP(B44,טבלאות!$G:$H,2,0)),"",VLOOKUP(B44,טבלאות!$G:$H,2,0))</f>
        <v>מתנות ומזכרות</v>
      </c>
      <c r="M44" s="51">
        <f t="shared" si="0"/>
        <v>49.9</v>
      </c>
    </row>
    <row r="45" spans="1:13" hidden="1">
      <c r="A45" s="138" t="s">
        <v>764</v>
      </c>
      <c r="B45" s="138" t="s">
        <v>924</v>
      </c>
      <c r="C45" s="138" t="s">
        <v>1496</v>
      </c>
      <c r="D45" s="139">
        <v>350</v>
      </c>
      <c r="E45" s="138" t="s">
        <v>1367</v>
      </c>
      <c r="F45" s="138" t="s">
        <v>1368</v>
      </c>
      <c r="G45" s="138" t="s">
        <v>1369</v>
      </c>
      <c r="H45" s="138" t="s">
        <v>1476</v>
      </c>
      <c r="I45" s="139">
        <v>350</v>
      </c>
      <c r="J45" s="106"/>
      <c r="K45" t="str">
        <f>IF(A45&gt;0,VLOOKUP(A45,טבלאות!$J:$K,2,0),"")</f>
        <v>אשראי אורנה</v>
      </c>
      <c r="L45" s="50" t="str">
        <f>IF(ISERROR(VLOOKUP(B45,טבלאות!$G:$H,2,0)),"",VLOOKUP(B45,טבלאות!$G:$H,2,0))</f>
        <v>בית וגן</v>
      </c>
      <c r="M45" s="51">
        <f t="shared" si="0"/>
        <v>350</v>
      </c>
    </row>
    <row r="46" spans="1:13" hidden="1">
      <c r="A46" s="138" t="s">
        <v>1355</v>
      </c>
      <c r="B46" s="138" t="s">
        <v>886</v>
      </c>
      <c r="C46" s="138" t="s">
        <v>1497</v>
      </c>
      <c r="D46" s="139">
        <v>74.459999999999994</v>
      </c>
      <c r="E46" s="138" t="s">
        <v>1367</v>
      </c>
      <c r="F46" s="138" t="s">
        <v>1368</v>
      </c>
      <c r="G46" s="138" t="s">
        <v>1369</v>
      </c>
      <c r="H46" s="138" t="s">
        <v>1476</v>
      </c>
      <c r="I46" s="139">
        <v>74.459999999999994</v>
      </c>
      <c r="J46" s="105"/>
      <c r="K46" t="str">
        <f>IF(A46&gt;0,VLOOKUP(A46,טבלאות!$J:$K,2,0),"")</f>
        <v>אשראי מיכה</v>
      </c>
      <c r="L46" s="50" t="str">
        <f>IF(ISERROR(VLOOKUP(B46,טבלאות!$G:$H,2,0)),"",VLOOKUP(B46,טבלאות!$G:$H,2,0))</f>
        <v>מזון ומשקאות</v>
      </c>
      <c r="M46" s="51">
        <f t="shared" si="0"/>
        <v>74.459999999999994</v>
      </c>
    </row>
    <row r="47" spans="1:13" hidden="1">
      <c r="A47" s="138" t="s">
        <v>764</v>
      </c>
      <c r="B47" s="138" t="s">
        <v>581</v>
      </c>
      <c r="C47" s="138" t="s">
        <v>1497</v>
      </c>
      <c r="D47" s="139">
        <v>520</v>
      </c>
      <c r="E47" s="138" t="s">
        <v>1367</v>
      </c>
      <c r="F47" s="138" t="s">
        <v>1368</v>
      </c>
      <c r="G47" s="138" t="s">
        <v>1479</v>
      </c>
      <c r="H47" s="138" t="s">
        <v>1476</v>
      </c>
      <c r="I47" s="139">
        <v>520</v>
      </c>
      <c r="J47" s="105"/>
      <c r="K47" t="str">
        <f>IF(A47&gt;0,VLOOKUP(A47,טבלאות!$J:$K,2,0),"")</f>
        <v>אשראי אורנה</v>
      </c>
      <c r="L47" s="50" t="str">
        <f>IF(ISERROR(VLOOKUP(B47,טבלאות!$G:$H,2,0)),"",VLOOKUP(B47,טבלאות!$G:$H,2,0))</f>
        <v>חוגים</v>
      </c>
      <c r="M47" s="51">
        <f t="shared" si="0"/>
        <v>520</v>
      </c>
    </row>
    <row r="48" spans="1:13" hidden="1">
      <c r="A48" s="138" t="s">
        <v>764</v>
      </c>
      <c r="B48" s="138" t="s">
        <v>581</v>
      </c>
      <c r="C48" s="138" t="s">
        <v>1497</v>
      </c>
      <c r="D48" s="139">
        <v>100</v>
      </c>
      <c r="E48" s="138" t="s">
        <v>1367</v>
      </c>
      <c r="F48" s="138" t="s">
        <v>1368</v>
      </c>
      <c r="G48" s="138" t="s">
        <v>1427</v>
      </c>
      <c r="H48" s="138" t="s">
        <v>1476</v>
      </c>
      <c r="I48" s="139">
        <v>100</v>
      </c>
      <c r="J48" s="105"/>
      <c r="K48" t="str">
        <f>IF(A48&gt;0,VLOOKUP(A48,טבלאות!$J:$K,2,0),"")</f>
        <v>אשראי אורנה</v>
      </c>
      <c r="L48" s="50" t="str">
        <f>IF(ISERROR(VLOOKUP(B48,טבלאות!$G:$H,2,0)),"",VLOOKUP(B48,טבלאות!$G:$H,2,0))</f>
        <v>חוגים</v>
      </c>
      <c r="M48" s="51">
        <f t="shared" si="0"/>
        <v>100</v>
      </c>
    </row>
    <row r="49" spans="1:13" hidden="1">
      <c r="A49" s="138" t="s">
        <v>1355</v>
      </c>
      <c r="B49" s="138" t="s">
        <v>1498</v>
      </c>
      <c r="C49" s="138" t="s">
        <v>1499</v>
      </c>
      <c r="D49" s="139">
        <v>25.76</v>
      </c>
      <c r="E49" s="138" t="s">
        <v>1367</v>
      </c>
      <c r="F49" s="138" t="s">
        <v>1368</v>
      </c>
      <c r="G49" s="138" t="s">
        <v>1369</v>
      </c>
      <c r="H49" s="138" t="s">
        <v>1476</v>
      </c>
      <c r="I49" s="139">
        <v>25.76</v>
      </c>
      <c r="J49" s="105"/>
      <c r="K49" t="str">
        <f>IF(A49&gt;0,VLOOKUP(A49,טבלאות!$J:$K,2,0),"")</f>
        <v>אשראי מיכה</v>
      </c>
      <c r="L49" s="50" t="str">
        <f>IF(ISERROR(VLOOKUP(B49,טבלאות!$G:$H,2,0)),"",VLOOKUP(B49,טבלאות!$G:$H,2,0))</f>
        <v>בריאות</v>
      </c>
      <c r="M49" s="51">
        <f t="shared" si="0"/>
        <v>25.76</v>
      </c>
    </row>
    <row r="50" spans="1:13" hidden="1">
      <c r="A50" s="138" t="s">
        <v>1355</v>
      </c>
      <c r="B50" s="138" t="s">
        <v>1101</v>
      </c>
      <c r="C50" s="138" t="s">
        <v>1499</v>
      </c>
      <c r="D50" s="139">
        <v>117.36</v>
      </c>
      <c r="E50" s="138" t="s">
        <v>1367</v>
      </c>
      <c r="F50" s="138" t="s">
        <v>1368</v>
      </c>
      <c r="G50" s="138" t="s">
        <v>1369</v>
      </c>
      <c r="H50" s="138" t="s">
        <v>1476</v>
      </c>
      <c r="I50" s="139">
        <v>117.36</v>
      </c>
      <c r="J50" s="105"/>
      <c r="K50" t="str">
        <f>IF(A50&gt;0,VLOOKUP(A50,טבלאות!$J:$K,2,0),"")</f>
        <v>אשראי מיכה</v>
      </c>
      <c r="L50" s="50" t="str">
        <f>IF(ISERROR(VLOOKUP(B50,טבלאות!$G:$H,2,0)),"",VLOOKUP(B50,טבלאות!$G:$H,2,0))</f>
        <v>מזון ומשקאות</v>
      </c>
      <c r="M50" s="51">
        <f t="shared" si="0"/>
        <v>117.36</v>
      </c>
    </row>
    <row r="51" spans="1:13" hidden="1">
      <c r="A51" s="138" t="s">
        <v>1355</v>
      </c>
      <c r="B51" s="138" t="s">
        <v>256</v>
      </c>
      <c r="C51" s="138" t="s">
        <v>1499</v>
      </c>
      <c r="D51" s="139">
        <v>116</v>
      </c>
      <c r="E51" s="138" t="s">
        <v>1367</v>
      </c>
      <c r="F51" s="138" t="s">
        <v>1368</v>
      </c>
      <c r="G51" s="138" t="s">
        <v>1369</v>
      </c>
      <c r="H51" s="138" t="s">
        <v>1476</v>
      </c>
      <c r="I51" s="139">
        <v>116</v>
      </c>
      <c r="J51" s="105"/>
      <c r="K51" t="str">
        <f>IF(A51&gt;0,VLOOKUP(A51,טבלאות!$J:$K,2,0),"")</f>
        <v>אשראי מיכה</v>
      </c>
      <c r="L51" s="50" t="str">
        <f>IF(ISERROR(VLOOKUP(B51,טבלאות!$G:$H,2,0)),"",VLOOKUP(B51,טבלאות!$G:$H,2,0))</f>
        <v>בילוי ומסעדות</v>
      </c>
      <c r="M51" s="51">
        <f t="shared" si="0"/>
        <v>116</v>
      </c>
    </row>
    <row r="52" spans="1:13" hidden="1">
      <c r="A52" s="138" t="s">
        <v>764</v>
      </c>
      <c r="B52" s="138" t="s">
        <v>1498</v>
      </c>
      <c r="C52" s="138" t="s">
        <v>1499</v>
      </c>
      <c r="D52" s="139">
        <v>39.61</v>
      </c>
      <c r="E52" s="138" t="s">
        <v>1367</v>
      </c>
      <c r="F52" s="138" t="s">
        <v>1368</v>
      </c>
      <c r="G52" s="138" t="s">
        <v>1369</v>
      </c>
      <c r="H52" s="138" t="s">
        <v>1476</v>
      </c>
      <c r="I52" s="139">
        <v>39.61</v>
      </c>
      <c r="J52" s="105"/>
      <c r="K52" t="str">
        <f>IF(A52&gt;0,VLOOKUP(A52,טבלאות!$J:$K,2,0),"")</f>
        <v>אשראי אורנה</v>
      </c>
      <c r="L52" s="50" t="str">
        <f>IF(ISERROR(VLOOKUP(B52,טבלאות!$G:$H,2,0)),"",VLOOKUP(B52,טבלאות!$G:$H,2,0))</f>
        <v>בריאות</v>
      </c>
      <c r="M52" s="51">
        <f t="shared" si="0"/>
        <v>39.61</v>
      </c>
    </row>
    <row r="53" spans="1:13" hidden="1">
      <c r="A53" s="138" t="s">
        <v>1355</v>
      </c>
      <c r="B53" s="138" t="s">
        <v>95</v>
      </c>
      <c r="C53" s="138" t="s">
        <v>1500</v>
      </c>
      <c r="D53" s="139">
        <v>133.13999999999999</v>
      </c>
      <c r="E53" s="138" t="s">
        <v>1367</v>
      </c>
      <c r="F53" s="138" t="s">
        <v>1368</v>
      </c>
      <c r="G53" s="138" t="s">
        <v>1369</v>
      </c>
      <c r="H53" s="138" t="s">
        <v>1476</v>
      </c>
      <c r="I53" s="139">
        <v>133.13999999999999</v>
      </c>
      <c r="J53" s="105"/>
      <c r="K53" t="str">
        <f>IF(A53&gt;0,VLOOKUP(A53,טבלאות!$J:$K,2,0),"")</f>
        <v>אשראי מיכה</v>
      </c>
      <c r="L53" s="50" t="str">
        <f>IF(ISERROR(VLOOKUP(B53,טבלאות!$G:$H,2,0)),"",VLOOKUP(B53,טבלאות!$G:$H,2,0))</f>
        <v>בריאות</v>
      </c>
      <c r="M53" s="51">
        <f t="shared" si="0"/>
        <v>133.13999999999999</v>
      </c>
    </row>
    <row r="54" spans="1:13" hidden="1">
      <c r="A54" s="138" t="s">
        <v>1355</v>
      </c>
      <c r="B54" s="138" t="s">
        <v>966</v>
      </c>
      <c r="C54" s="138" t="s">
        <v>1500</v>
      </c>
      <c r="D54" s="139">
        <v>224.89</v>
      </c>
      <c r="E54" s="138" t="s">
        <v>1367</v>
      </c>
      <c r="F54" s="138" t="s">
        <v>1368</v>
      </c>
      <c r="G54" s="138" t="s">
        <v>1369</v>
      </c>
      <c r="H54" s="138" t="s">
        <v>1476</v>
      </c>
      <c r="I54" s="139">
        <v>224.89</v>
      </c>
      <c r="J54" s="105"/>
      <c r="K54" t="str">
        <f>IF(A54&gt;0,VLOOKUP(A54,טבלאות!$J:$K,2,0),"")</f>
        <v>אשראי מיכה</v>
      </c>
      <c r="L54" s="50" t="str">
        <f>IF(ISERROR(VLOOKUP(B54,טבלאות!$G:$H,2,0)),"",VLOOKUP(B54,טבלאות!$G:$H,2,0))</f>
        <v>מזון ומשקאות</v>
      </c>
      <c r="M54" s="51">
        <f t="shared" si="0"/>
        <v>224.89</v>
      </c>
    </row>
    <row r="55" spans="1:13" hidden="1">
      <c r="A55" s="138" t="s">
        <v>1355</v>
      </c>
      <c r="B55" s="138" t="s">
        <v>886</v>
      </c>
      <c r="C55" s="138" t="s">
        <v>1500</v>
      </c>
      <c r="D55" s="139">
        <v>55.66</v>
      </c>
      <c r="E55" s="138" t="s">
        <v>1367</v>
      </c>
      <c r="F55" s="138" t="s">
        <v>1368</v>
      </c>
      <c r="G55" s="138" t="s">
        <v>1369</v>
      </c>
      <c r="H55" s="138" t="s">
        <v>1476</v>
      </c>
      <c r="I55" s="139">
        <v>55.66</v>
      </c>
      <c r="J55" s="105"/>
      <c r="K55" t="str">
        <f>IF(A55&gt;0,VLOOKUP(A55,טבלאות!$J:$K,2,0),"")</f>
        <v>אשראי מיכה</v>
      </c>
      <c r="L55" s="50" t="str">
        <f>IF(ISERROR(VLOOKUP(B55,טבלאות!$G:$H,2,0)),"",VLOOKUP(B55,טבלאות!$G:$H,2,0))</f>
        <v>מזון ומשקאות</v>
      </c>
      <c r="M55" s="51">
        <f t="shared" si="0"/>
        <v>55.66</v>
      </c>
    </row>
    <row r="56" spans="1:13" hidden="1">
      <c r="A56" s="138" t="s">
        <v>764</v>
      </c>
      <c r="B56" s="138" t="s">
        <v>207</v>
      </c>
      <c r="C56" s="138" t="s">
        <v>1500</v>
      </c>
      <c r="D56" s="139">
        <v>70</v>
      </c>
      <c r="E56" s="138" t="s">
        <v>1367</v>
      </c>
      <c r="F56" s="138" t="s">
        <v>1368</v>
      </c>
      <c r="G56" s="138" t="s">
        <v>1369</v>
      </c>
      <c r="H56" s="138" t="s">
        <v>1476</v>
      </c>
      <c r="I56" s="139">
        <v>70</v>
      </c>
      <c r="J56" s="105"/>
      <c r="K56" t="str">
        <f>IF(A56&gt;0,VLOOKUP(A56,טבלאות!$J:$K,2,0),"")</f>
        <v>אשראי אורנה</v>
      </c>
      <c r="L56" s="50" t="str">
        <f>IF(ISERROR(VLOOKUP(B56,טבלאות!$G:$H,2,0)),"",VLOOKUP(B56,טבלאות!$G:$H,2,0))</f>
        <v>חוגים</v>
      </c>
      <c r="M56" s="51">
        <f t="shared" si="0"/>
        <v>70</v>
      </c>
    </row>
    <row r="57" spans="1:13" hidden="1">
      <c r="A57" s="138" t="s">
        <v>1355</v>
      </c>
      <c r="B57" s="138" t="s">
        <v>1501</v>
      </c>
      <c r="C57" s="138" t="s">
        <v>1502</v>
      </c>
      <c r="D57" s="139">
        <v>112.38</v>
      </c>
      <c r="E57" s="138" t="s">
        <v>1367</v>
      </c>
      <c r="F57" s="138" t="s">
        <v>1368</v>
      </c>
      <c r="G57" s="138" t="s">
        <v>1369</v>
      </c>
      <c r="H57" s="138" t="s">
        <v>1476</v>
      </c>
      <c r="I57" s="139">
        <v>112.38</v>
      </c>
      <c r="J57" s="105"/>
      <c r="K57" t="str">
        <f>IF(A57&gt;0,VLOOKUP(A57,טבלאות!$J:$K,2,0),"")</f>
        <v>אשראי מיכה</v>
      </c>
      <c r="L57" s="50" t="str">
        <f>IF(ISERROR(VLOOKUP(B57,טבלאות!$G:$H,2,0)),"",VLOOKUP(B57,טבלאות!$G:$H,2,0))</f>
        <v>נופש</v>
      </c>
      <c r="M57" s="51">
        <f t="shared" si="0"/>
        <v>112.38</v>
      </c>
    </row>
    <row r="58" spans="1:13" hidden="1">
      <c r="A58" s="138" t="s">
        <v>1355</v>
      </c>
      <c r="B58" s="138" t="s">
        <v>966</v>
      </c>
      <c r="C58" s="138" t="s">
        <v>1502</v>
      </c>
      <c r="D58" s="139">
        <v>203.4</v>
      </c>
      <c r="E58" s="138" t="s">
        <v>1367</v>
      </c>
      <c r="F58" s="138" t="s">
        <v>1368</v>
      </c>
      <c r="G58" s="138" t="s">
        <v>1369</v>
      </c>
      <c r="H58" s="138" t="s">
        <v>1476</v>
      </c>
      <c r="I58" s="139">
        <v>203.4</v>
      </c>
      <c r="J58" s="105"/>
      <c r="K58" t="str">
        <f>IF(A58&gt;0,VLOOKUP(A58,טבלאות!$J:$K,2,0),"")</f>
        <v>אשראי מיכה</v>
      </c>
      <c r="L58" s="50" t="str">
        <f>IF(ISERROR(VLOOKUP(B58,טבלאות!$G:$H,2,0)),"",VLOOKUP(B58,טבלאות!$G:$H,2,0))</f>
        <v>מזון ומשקאות</v>
      </c>
      <c r="M58" s="51">
        <f t="shared" si="0"/>
        <v>203.4</v>
      </c>
    </row>
    <row r="59" spans="1:13" hidden="1">
      <c r="A59" s="138" t="s">
        <v>1355</v>
      </c>
      <c r="B59" s="138" t="s">
        <v>1357</v>
      </c>
      <c r="C59" s="138" t="s">
        <v>1502</v>
      </c>
      <c r="D59" s="139">
        <v>88</v>
      </c>
      <c r="E59" s="138" t="s">
        <v>1367</v>
      </c>
      <c r="F59" s="138" t="s">
        <v>1368</v>
      </c>
      <c r="G59" s="138" t="s">
        <v>1369</v>
      </c>
      <c r="H59" s="138" t="s">
        <v>1476</v>
      </c>
      <c r="I59" s="139">
        <v>88</v>
      </c>
      <c r="J59" s="105"/>
      <c r="K59" t="str">
        <f>IF(A59&gt;0,VLOOKUP(A59,טבלאות!$J:$K,2,0),"")</f>
        <v>אשראי מיכה</v>
      </c>
      <c r="L59" s="50" t="str">
        <f>IF(ISERROR(VLOOKUP(B59,טבלאות!$G:$H,2,0)),"",VLOOKUP(B59,טבלאות!$G:$H,2,0))</f>
        <v>בילוי ומסעדות</v>
      </c>
      <c r="M59" s="51">
        <f t="shared" si="0"/>
        <v>88</v>
      </c>
    </row>
    <row r="60" spans="1:13" hidden="1">
      <c r="A60" s="138" t="s">
        <v>764</v>
      </c>
      <c r="B60" s="138" t="s">
        <v>1501</v>
      </c>
      <c r="C60" s="138" t="s">
        <v>1502</v>
      </c>
      <c r="D60" s="139">
        <v>112.38</v>
      </c>
      <c r="E60" s="138" t="s">
        <v>1367</v>
      </c>
      <c r="F60" s="138" t="s">
        <v>1368</v>
      </c>
      <c r="G60" s="138" t="s">
        <v>1369</v>
      </c>
      <c r="H60" s="138" t="s">
        <v>1476</v>
      </c>
      <c r="I60" s="139">
        <v>112.38</v>
      </c>
      <c r="J60" s="105"/>
      <c r="K60" t="str">
        <f>IF(A60&gt;0,VLOOKUP(A60,טבלאות!$J:$K,2,0),"")</f>
        <v>אשראי אורנה</v>
      </c>
      <c r="L60" s="50" t="str">
        <f>IF(ISERROR(VLOOKUP(B60,טבלאות!$G:$H,2,0)),"",VLOOKUP(B60,טבלאות!$G:$H,2,0))</f>
        <v>נופש</v>
      </c>
      <c r="M60" s="51">
        <f t="shared" si="0"/>
        <v>112.38</v>
      </c>
    </row>
    <row r="61" spans="1:13" hidden="1">
      <c r="A61" s="138" t="s">
        <v>1355</v>
      </c>
      <c r="B61" s="138" t="s">
        <v>966</v>
      </c>
      <c r="C61" s="138" t="s">
        <v>1503</v>
      </c>
      <c r="D61" s="139">
        <v>899.42</v>
      </c>
      <c r="E61" s="138" t="s">
        <v>1367</v>
      </c>
      <c r="F61" s="138" t="s">
        <v>1368</v>
      </c>
      <c r="G61" s="138" t="s">
        <v>1369</v>
      </c>
      <c r="H61" s="138" t="s">
        <v>1476</v>
      </c>
      <c r="I61" s="139">
        <v>899.42</v>
      </c>
      <c r="J61" s="105"/>
      <c r="K61" t="str">
        <f>IF(A61&gt;0,VLOOKUP(A61,טבלאות!$J:$K,2,0),"")</f>
        <v>אשראי מיכה</v>
      </c>
      <c r="L61" s="50" t="str">
        <f>IF(ISERROR(VLOOKUP(B61,טבלאות!$G:$H,2,0)),"",VLOOKUP(B61,טבלאות!$G:$H,2,0))</f>
        <v>מזון ומשקאות</v>
      </c>
      <c r="M61" s="51">
        <f t="shared" si="0"/>
        <v>899.42</v>
      </c>
    </row>
    <row r="62" spans="1:13" hidden="1">
      <c r="A62" s="138" t="s">
        <v>1355</v>
      </c>
      <c r="B62" s="138" t="s">
        <v>886</v>
      </c>
      <c r="C62" s="138" t="s">
        <v>1503</v>
      </c>
      <c r="D62" s="139">
        <v>31.9</v>
      </c>
      <c r="E62" s="138" t="s">
        <v>1367</v>
      </c>
      <c r="F62" s="138" t="s">
        <v>1368</v>
      </c>
      <c r="G62" s="138" t="s">
        <v>1369</v>
      </c>
      <c r="H62" s="138" t="s">
        <v>1476</v>
      </c>
      <c r="I62" s="139">
        <v>31.9</v>
      </c>
      <c r="J62" s="105"/>
      <c r="K62" t="str">
        <f>IF(A62&gt;0,VLOOKUP(A62,טבלאות!$J:$K,2,0),"")</f>
        <v>אשראי מיכה</v>
      </c>
      <c r="L62" s="50" t="str">
        <f>IF(ISERROR(VLOOKUP(B62,טבלאות!$G:$H,2,0)),"",VLOOKUP(B62,טבלאות!$G:$H,2,0))</f>
        <v>מזון ומשקאות</v>
      </c>
      <c r="M62" s="51">
        <f t="shared" si="0"/>
        <v>31.9</v>
      </c>
    </row>
    <row r="63" spans="1:13" hidden="1">
      <c r="A63" s="138" t="s">
        <v>764</v>
      </c>
      <c r="B63" s="138" t="s">
        <v>959</v>
      </c>
      <c r="C63" s="138" t="s">
        <v>1503</v>
      </c>
      <c r="D63" s="139">
        <v>103.65</v>
      </c>
      <c r="E63" s="138" t="s">
        <v>1367</v>
      </c>
      <c r="F63" s="138" t="s">
        <v>1368</v>
      </c>
      <c r="G63" s="138" t="s">
        <v>1369</v>
      </c>
      <c r="H63" s="138" t="s">
        <v>1476</v>
      </c>
      <c r="I63" s="139">
        <v>103.65</v>
      </c>
      <c r="J63" s="105"/>
      <c r="K63" t="str">
        <f>IF(A63&gt;0,VLOOKUP(A63,טבלאות!$J:$K,2,0),"")</f>
        <v>אשראי אורנה</v>
      </c>
      <c r="L63" s="50" t="str">
        <f>IF(ISERROR(VLOOKUP(B63,טבלאות!$G:$H,2,0)),"",VLOOKUP(B63,טבלאות!$G:$H,2,0))</f>
        <v>רכב ותחבורה</v>
      </c>
      <c r="M63" s="51">
        <f t="shared" si="0"/>
        <v>103.65</v>
      </c>
    </row>
    <row r="64" spans="1:13" hidden="1">
      <c r="A64" s="138" t="s">
        <v>1355</v>
      </c>
      <c r="B64" s="138" t="s">
        <v>1504</v>
      </c>
      <c r="C64" s="138" t="s">
        <v>1505</v>
      </c>
      <c r="D64" s="139">
        <v>99</v>
      </c>
      <c r="E64" s="138" t="s">
        <v>1367</v>
      </c>
      <c r="F64" s="138" t="s">
        <v>1368</v>
      </c>
      <c r="G64" s="138" t="s">
        <v>1369</v>
      </c>
      <c r="H64" s="138" t="s">
        <v>1476</v>
      </c>
      <c r="I64" s="139">
        <v>99</v>
      </c>
      <c r="J64" s="105"/>
      <c r="K64" t="str">
        <f>IF(A64&gt;0,VLOOKUP(A64,טבלאות!$J:$K,2,0),"")</f>
        <v>אשראי מיכה</v>
      </c>
      <c r="L64" s="50" t="str">
        <f>IF(ISERROR(VLOOKUP(B64,טבלאות!$G:$H,2,0)),"",VLOOKUP(B64,טבלאות!$G:$H,2,0))</f>
        <v>מזון ומשקאות</v>
      </c>
      <c r="M64" s="51">
        <f t="shared" si="0"/>
        <v>99</v>
      </c>
    </row>
    <row r="65" spans="1:13" hidden="1">
      <c r="A65" s="138" t="s">
        <v>1355</v>
      </c>
      <c r="B65" s="138" t="s">
        <v>1506</v>
      </c>
      <c r="C65" s="138" t="s">
        <v>1505</v>
      </c>
      <c r="D65" s="139">
        <v>39.9</v>
      </c>
      <c r="E65" s="138" t="s">
        <v>1367</v>
      </c>
      <c r="F65" s="138" t="s">
        <v>1368</v>
      </c>
      <c r="G65" s="138" t="s">
        <v>1369</v>
      </c>
      <c r="H65" s="138" t="s">
        <v>1476</v>
      </c>
      <c r="I65" s="139">
        <v>39.9</v>
      </c>
      <c r="J65" s="105"/>
      <c r="K65" t="str">
        <f>IF(A65&gt;0,VLOOKUP(A65,טבלאות!$J:$K,2,0),"")</f>
        <v>אשראי מיכה</v>
      </c>
      <c r="L65" s="50" t="str">
        <f>IF(ISERROR(VLOOKUP(B65,טבלאות!$G:$H,2,0)),"",VLOOKUP(B65,טבלאות!$G:$H,2,0))</f>
        <v>מתנות ומזכרות</v>
      </c>
      <c r="M65" s="51">
        <f t="shared" si="0"/>
        <v>39.9</v>
      </c>
    </row>
    <row r="66" spans="1:13" hidden="1">
      <c r="A66" s="138" t="s">
        <v>1355</v>
      </c>
      <c r="B66" s="138" t="s">
        <v>649</v>
      </c>
      <c r="C66" s="138" t="s">
        <v>1505</v>
      </c>
      <c r="D66" s="139">
        <v>72</v>
      </c>
      <c r="E66" s="138" t="s">
        <v>1367</v>
      </c>
      <c r="F66" s="138" t="s">
        <v>1368</v>
      </c>
      <c r="G66" s="138" t="s">
        <v>1369</v>
      </c>
      <c r="H66" s="138" t="s">
        <v>1476</v>
      </c>
      <c r="I66" s="139">
        <v>72</v>
      </c>
      <c r="J66" s="105"/>
      <c r="K66" t="str">
        <f>IF(A66&gt;0,VLOOKUP(A66,טבלאות!$J:$K,2,0),"")</f>
        <v>אשראי מיכה</v>
      </c>
      <c r="L66" s="50" t="str">
        <f>IF(ISERROR(VLOOKUP(B66,טבלאות!$G:$H,2,0)),"",VLOOKUP(B66,טבלאות!$G:$H,2,0))</f>
        <v>מזון ומשקאות</v>
      </c>
      <c r="M66" s="51">
        <f t="shared" ref="M66:M113" si="1">IF(OR(L66="",L66="?"),"",IF(L66&gt;0,I66,""))</f>
        <v>72</v>
      </c>
    </row>
    <row r="67" spans="1:13" hidden="1">
      <c r="A67" s="138" t="s">
        <v>1355</v>
      </c>
      <c r="B67" s="138" t="s">
        <v>1507</v>
      </c>
      <c r="C67" s="138" t="s">
        <v>1505</v>
      </c>
      <c r="D67" s="139">
        <v>39.9</v>
      </c>
      <c r="E67" s="138" t="s">
        <v>1367</v>
      </c>
      <c r="F67" s="138" t="s">
        <v>1368</v>
      </c>
      <c r="G67" s="138" t="s">
        <v>1369</v>
      </c>
      <c r="H67" s="138" t="s">
        <v>1476</v>
      </c>
      <c r="I67" s="139">
        <v>39.9</v>
      </c>
      <c r="J67" s="105"/>
      <c r="K67" t="str">
        <f>IF(A67&gt;0,VLOOKUP(A67,טבלאות!$J:$K,2,0),"")</f>
        <v>אשראי מיכה</v>
      </c>
      <c r="L67" s="50" t="str">
        <f>IF(ISERROR(VLOOKUP(B67,טבלאות!$G:$H,2,0)),"",VLOOKUP(B67,טבלאות!$G:$H,2,0))</f>
        <v>מתנות ומזכרות</v>
      </c>
      <c r="M67" s="51">
        <f t="shared" si="1"/>
        <v>39.9</v>
      </c>
    </row>
    <row r="68" spans="1:13" hidden="1">
      <c r="A68" s="138" t="s">
        <v>1355</v>
      </c>
      <c r="B68" s="138" t="s">
        <v>181</v>
      </c>
      <c r="C68" s="138" t="s">
        <v>1505</v>
      </c>
      <c r="D68" s="139">
        <v>118.2</v>
      </c>
      <c r="E68" s="138" t="s">
        <v>1367</v>
      </c>
      <c r="F68" s="138" t="s">
        <v>1368</v>
      </c>
      <c r="G68" s="138" t="s">
        <v>1369</v>
      </c>
      <c r="H68" s="138" t="s">
        <v>1476</v>
      </c>
      <c r="I68" s="139">
        <v>118.2</v>
      </c>
      <c r="J68" s="105"/>
      <c r="K68" t="str">
        <f>IF(A68&gt;0,VLOOKUP(A68,טבלאות!$J:$K,2,0),"")</f>
        <v>אשראי מיכה</v>
      </c>
      <c r="L68" s="50" t="str">
        <f>IF(ISERROR(VLOOKUP(B68,טבלאות!$G:$H,2,0)),"",VLOOKUP(B68,טבלאות!$G:$H,2,0))</f>
        <v>מתנות ומזכרות</v>
      </c>
      <c r="M68" s="51">
        <f t="shared" si="1"/>
        <v>118.2</v>
      </c>
    </row>
    <row r="69" spans="1:13" hidden="1">
      <c r="A69" s="138" t="s">
        <v>1355</v>
      </c>
      <c r="B69" s="138" t="s">
        <v>654</v>
      </c>
      <c r="C69" s="138" t="s">
        <v>1508</v>
      </c>
      <c r="D69" s="139">
        <v>55</v>
      </c>
      <c r="E69" s="138" t="s">
        <v>1367</v>
      </c>
      <c r="F69" s="138" t="s">
        <v>1368</v>
      </c>
      <c r="G69" s="138" t="s">
        <v>1369</v>
      </c>
      <c r="H69" s="138" t="s">
        <v>1476</v>
      </c>
      <c r="I69" s="139">
        <v>55</v>
      </c>
      <c r="J69" s="105"/>
      <c r="K69" t="str">
        <f>IF(A69&gt;0,VLOOKUP(A69,טבלאות!$J:$K,2,0),"")</f>
        <v>אשראי מיכה</v>
      </c>
      <c r="L69" s="50" t="str">
        <f>IF(ISERROR(VLOOKUP(B69,טבלאות!$G:$H,2,0)),"",VLOOKUP(B69,טבלאות!$G:$H,2,0))</f>
        <v>ביגוד והנעלה</v>
      </c>
      <c r="M69" s="51">
        <f t="shared" si="1"/>
        <v>55</v>
      </c>
    </row>
    <row r="70" spans="1:13" hidden="1">
      <c r="A70" s="138" t="s">
        <v>1355</v>
      </c>
      <c r="B70" s="138" t="s">
        <v>541</v>
      </c>
      <c r="C70" s="138" t="s">
        <v>1508</v>
      </c>
      <c r="D70" s="139">
        <v>90</v>
      </c>
      <c r="E70" s="138" t="s">
        <v>1367</v>
      </c>
      <c r="F70" s="138" t="s">
        <v>1368</v>
      </c>
      <c r="G70" s="138" t="s">
        <v>1369</v>
      </c>
      <c r="H70" s="138" t="s">
        <v>1476</v>
      </c>
      <c r="I70" s="139">
        <v>90</v>
      </c>
      <c r="J70" s="105"/>
      <c r="K70" t="str">
        <f>IF(A70&gt;0,VLOOKUP(A70,טבלאות!$J:$K,2,0),"")</f>
        <v>אשראי מיכה</v>
      </c>
      <c r="L70" s="50" t="str">
        <f>IF(ISERROR(VLOOKUP(B70,טבלאות!$G:$H,2,0)),"",VLOOKUP(B70,טבלאות!$G:$H,2,0))</f>
        <v>רכב ותחבורה</v>
      </c>
      <c r="M70" s="51">
        <f t="shared" si="1"/>
        <v>90</v>
      </c>
    </row>
    <row r="71" spans="1:13" hidden="1">
      <c r="A71" s="138" t="s">
        <v>764</v>
      </c>
      <c r="B71" s="138" t="s">
        <v>581</v>
      </c>
      <c r="C71" s="138" t="s">
        <v>1508</v>
      </c>
      <c r="D71" s="139">
        <v>200</v>
      </c>
      <c r="E71" s="138" t="s">
        <v>1367</v>
      </c>
      <c r="F71" s="138" t="s">
        <v>1368</v>
      </c>
      <c r="G71" s="138" t="s">
        <v>1427</v>
      </c>
      <c r="H71" s="138" t="s">
        <v>1476</v>
      </c>
      <c r="I71" s="139">
        <v>200</v>
      </c>
      <c r="J71" s="105"/>
      <c r="K71" t="str">
        <f>IF(A71&gt;0,VLOOKUP(A71,טבלאות!$J:$K,2,0),"")</f>
        <v>אשראי אורנה</v>
      </c>
      <c r="L71" s="50" t="str">
        <f>IF(ISERROR(VLOOKUP(B71,טבלאות!$G:$H,2,0)),"",VLOOKUP(B71,טבלאות!$G:$H,2,0))</f>
        <v>חוגים</v>
      </c>
      <c r="M71" s="51">
        <f t="shared" si="1"/>
        <v>200</v>
      </c>
    </row>
    <row r="72" spans="1:13" hidden="1">
      <c r="A72" s="138" t="s">
        <v>764</v>
      </c>
      <c r="B72" s="138" t="s">
        <v>246</v>
      </c>
      <c r="C72" s="138" t="s">
        <v>1508</v>
      </c>
      <c r="D72" s="139">
        <v>520</v>
      </c>
      <c r="E72" s="138" t="s">
        <v>1367</v>
      </c>
      <c r="F72" s="138" t="s">
        <v>1368</v>
      </c>
      <c r="G72" s="138" t="s">
        <v>1509</v>
      </c>
      <c r="H72" s="138" t="s">
        <v>1476</v>
      </c>
      <c r="I72" s="139">
        <v>520</v>
      </c>
      <c r="J72" s="105"/>
      <c r="K72" t="str">
        <f>IF(A72&gt;0,VLOOKUP(A72,טבלאות!$J:$K,2,0),"")</f>
        <v>אשראי אורנה</v>
      </c>
      <c r="L72" s="50" t="str">
        <f>IF(ISERROR(VLOOKUP(B72,טבלאות!$G:$H,2,0)),"",VLOOKUP(B72,טבלאות!$G:$H,2,0))</f>
        <v>חוגים</v>
      </c>
      <c r="M72" s="51">
        <f t="shared" si="1"/>
        <v>520</v>
      </c>
    </row>
    <row r="73" spans="1:13" hidden="1">
      <c r="A73" s="138" t="s">
        <v>1355</v>
      </c>
      <c r="B73" s="138" t="s">
        <v>256</v>
      </c>
      <c r="C73" s="138" t="s">
        <v>1510</v>
      </c>
      <c r="D73" s="139">
        <v>16</v>
      </c>
      <c r="E73" s="138" t="s">
        <v>1367</v>
      </c>
      <c r="F73" s="138" t="s">
        <v>1368</v>
      </c>
      <c r="G73" s="138" t="s">
        <v>1369</v>
      </c>
      <c r="H73" s="138" t="s">
        <v>1476</v>
      </c>
      <c r="I73" s="139">
        <v>16</v>
      </c>
      <c r="J73" s="106"/>
      <c r="K73" t="str">
        <f>IF(A73&gt;0,VLOOKUP(A73,טבלאות!$J:$K,2,0),"")</f>
        <v>אשראי מיכה</v>
      </c>
      <c r="L73" s="50" t="str">
        <f>IF(ISERROR(VLOOKUP(B73,טבלאות!$G:$H,2,0)),"",VLOOKUP(B73,טבלאות!$G:$H,2,0))</f>
        <v>בילוי ומסעדות</v>
      </c>
      <c r="M73" s="51">
        <f t="shared" si="1"/>
        <v>16</v>
      </c>
    </row>
    <row r="74" spans="1:13" hidden="1">
      <c r="A74" s="138" t="s">
        <v>1355</v>
      </c>
      <c r="B74" s="138" t="s">
        <v>1101</v>
      </c>
      <c r="C74" s="138" t="s">
        <v>1511</v>
      </c>
      <c r="D74" s="139">
        <v>205.25</v>
      </c>
      <c r="E74" s="138" t="s">
        <v>1367</v>
      </c>
      <c r="F74" s="138" t="s">
        <v>1368</v>
      </c>
      <c r="G74" s="138" t="s">
        <v>1369</v>
      </c>
      <c r="H74" s="138" t="s">
        <v>1476</v>
      </c>
      <c r="I74" s="139">
        <v>205.25</v>
      </c>
      <c r="J74" s="106"/>
      <c r="K74" t="str">
        <f>IF(A74&gt;0,VLOOKUP(A74,טבלאות!$J:$K,2,0),"")</f>
        <v>אשראי מיכה</v>
      </c>
      <c r="L74" s="50" t="str">
        <f>IF(ISERROR(VLOOKUP(B74,טבלאות!$G:$H,2,0)),"",VLOOKUP(B74,טבלאות!$G:$H,2,0))</f>
        <v>מזון ומשקאות</v>
      </c>
      <c r="M74" s="51">
        <f t="shared" si="1"/>
        <v>205.25</v>
      </c>
    </row>
    <row r="75" spans="1:13" hidden="1">
      <c r="A75" s="138" t="s">
        <v>1355</v>
      </c>
      <c r="B75" s="138" t="s">
        <v>1450</v>
      </c>
      <c r="C75" s="138" t="s">
        <v>1511</v>
      </c>
      <c r="D75" s="139">
        <v>15.9</v>
      </c>
      <c r="E75" s="138" t="s">
        <v>1367</v>
      </c>
      <c r="F75" s="138" t="s">
        <v>1368</v>
      </c>
      <c r="G75" s="138" t="s">
        <v>1369</v>
      </c>
      <c r="H75" s="138" t="s">
        <v>1476</v>
      </c>
      <c r="I75" s="139">
        <v>15.9</v>
      </c>
      <c r="J75" s="106"/>
      <c r="K75" t="str">
        <f>IF(A75&gt;0,VLOOKUP(A75,טבלאות!$J:$K,2,0),"")</f>
        <v>אשראי מיכה</v>
      </c>
      <c r="L75" s="50" t="str">
        <f>IF(ISERROR(VLOOKUP(B75,טבלאות!$G:$H,2,0)),"",VLOOKUP(B75,טבלאות!$G:$H,2,0))</f>
        <v>מזון ומשקאות</v>
      </c>
      <c r="M75" s="51">
        <f t="shared" si="1"/>
        <v>15.9</v>
      </c>
    </row>
    <row r="76" spans="1:13" hidden="1">
      <c r="A76" s="138" t="s">
        <v>1355</v>
      </c>
      <c r="B76" s="138" t="s">
        <v>1512</v>
      </c>
      <c r="C76" s="138" t="s">
        <v>1511</v>
      </c>
      <c r="D76" s="139">
        <v>78</v>
      </c>
      <c r="E76" s="138" t="s">
        <v>1367</v>
      </c>
      <c r="F76" s="138" t="s">
        <v>1368</v>
      </c>
      <c r="G76" s="138" t="s">
        <v>1369</v>
      </c>
      <c r="H76" s="138" t="s">
        <v>1476</v>
      </c>
      <c r="I76" s="139">
        <v>78</v>
      </c>
      <c r="J76" s="106"/>
      <c r="K76" t="str">
        <f>IF(A76&gt;0,VLOOKUP(A76,טבלאות!$J:$K,2,0),"")</f>
        <v>אשראי מיכה</v>
      </c>
      <c r="L76" s="50" t="str">
        <f>IF(ISERROR(VLOOKUP(B76,טבלאות!$G:$H,2,0)),"",VLOOKUP(B76,טבלאות!$G:$H,2,0))</f>
        <v>מזון ומשקאות</v>
      </c>
      <c r="M76" s="51">
        <f t="shared" si="1"/>
        <v>78</v>
      </c>
    </row>
    <row r="77" spans="1:13" hidden="1">
      <c r="A77" s="138" t="s">
        <v>1355</v>
      </c>
      <c r="B77" s="138" t="s">
        <v>76</v>
      </c>
      <c r="C77" s="138" t="s">
        <v>1513</v>
      </c>
      <c r="D77" s="139">
        <v>20.63</v>
      </c>
      <c r="E77" s="138" t="s">
        <v>1367</v>
      </c>
      <c r="F77" s="138" t="s">
        <v>1368</v>
      </c>
      <c r="G77" s="138" t="s">
        <v>1375</v>
      </c>
      <c r="H77" s="138" t="s">
        <v>1476</v>
      </c>
      <c r="I77" s="139">
        <v>20.63</v>
      </c>
      <c r="J77" s="106"/>
      <c r="K77" t="str">
        <f>IF(A77&gt;0,VLOOKUP(A77,טבלאות!$J:$K,2,0),"")</f>
        <v>אשראי מיכה</v>
      </c>
      <c r="L77" s="50" t="str">
        <f>IF(ISERROR(VLOOKUP(B77,טבלאות!$G:$H,2,0)),"",VLOOKUP(B77,טבלאות!$G:$H,2,0))</f>
        <v>בריאות</v>
      </c>
      <c r="M77" s="51">
        <f t="shared" si="1"/>
        <v>20.63</v>
      </c>
    </row>
    <row r="78" spans="1:13" hidden="1">
      <c r="A78" s="138" t="s">
        <v>1355</v>
      </c>
      <c r="B78" s="138" t="s">
        <v>966</v>
      </c>
      <c r="C78" s="138" t="s">
        <v>1513</v>
      </c>
      <c r="D78" s="139">
        <v>471.41</v>
      </c>
      <c r="E78" s="138" t="s">
        <v>1367</v>
      </c>
      <c r="F78" s="138" t="s">
        <v>1368</v>
      </c>
      <c r="G78" s="138" t="s">
        <v>1369</v>
      </c>
      <c r="H78" s="138" t="s">
        <v>1476</v>
      </c>
      <c r="I78" s="139">
        <v>471.41</v>
      </c>
      <c r="J78" s="106"/>
      <c r="K78" t="str">
        <f>IF(A78&gt;0,VLOOKUP(A78,טבלאות!$J:$K,2,0),"")</f>
        <v>אשראי מיכה</v>
      </c>
      <c r="L78" s="50" t="str">
        <f>IF(ISERROR(VLOOKUP(B78,טבלאות!$G:$H,2,0)),"",VLOOKUP(B78,טבלאות!$G:$H,2,0))</f>
        <v>מזון ומשקאות</v>
      </c>
      <c r="M78" s="51">
        <f t="shared" si="1"/>
        <v>471.41</v>
      </c>
    </row>
    <row r="79" spans="1:13" hidden="1">
      <c r="A79" s="138" t="s">
        <v>1355</v>
      </c>
      <c r="B79" s="138" t="s">
        <v>886</v>
      </c>
      <c r="C79" s="138" t="s">
        <v>1513</v>
      </c>
      <c r="D79" s="139">
        <v>58.31</v>
      </c>
      <c r="E79" s="138" t="s">
        <v>1367</v>
      </c>
      <c r="F79" s="138" t="s">
        <v>1368</v>
      </c>
      <c r="G79" s="138" t="s">
        <v>1369</v>
      </c>
      <c r="H79" s="138" t="s">
        <v>1476</v>
      </c>
      <c r="I79" s="139">
        <v>58.31</v>
      </c>
      <c r="J79" s="106"/>
      <c r="K79" t="str">
        <f>IF(A79&gt;0,VLOOKUP(A79,טבלאות!$J:$K,2,0),"")</f>
        <v>אשראי מיכה</v>
      </c>
      <c r="L79" s="50" t="str">
        <f>IF(ISERROR(VLOOKUP(B79,טבלאות!$G:$H,2,0)),"",VLOOKUP(B79,טבלאות!$G:$H,2,0))</f>
        <v>מזון ומשקאות</v>
      </c>
      <c r="M79" s="51">
        <f t="shared" si="1"/>
        <v>58.31</v>
      </c>
    </row>
    <row r="80" spans="1:13" hidden="1">
      <c r="A80" s="138" t="s">
        <v>764</v>
      </c>
      <c r="B80" s="138" t="s">
        <v>246</v>
      </c>
      <c r="C80" s="138" t="s">
        <v>1514</v>
      </c>
      <c r="D80" s="139">
        <v>260</v>
      </c>
      <c r="E80" s="138" t="s">
        <v>1367</v>
      </c>
      <c r="F80" s="138" t="s">
        <v>1368</v>
      </c>
      <c r="G80" s="138" t="s">
        <v>1386</v>
      </c>
      <c r="H80" s="138" t="s">
        <v>1476</v>
      </c>
      <c r="I80" s="139">
        <v>260</v>
      </c>
      <c r="J80" s="106"/>
      <c r="K80" t="str">
        <f>IF(A80&gt;0,VLOOKUP(A80,טבלאות!$J:$K,2,0),"")</f>
        <v>אשראי אורנה</v>
      </c>
      <c r="L80" s="50" t="str">
        <f>IF(ISERROR(VLOOKUP(B80,טבלאות!$G:$H,2,0)),"",VLOOKUP(B80,טבלאות!$G:$H,2,0))</f>
        <v>חוגים</v>
      </c>
      <c r="M80" s="51">
        <f t="shared" si="1"/>
        <v>260</v>
      </c>
    </row>
    <row r="81" spans="1:13" hidden="1">
      <c r="A81" s="138" t="s">
        <v>1355</v>
      </c>
      <c r="B81" s="138" t="s">
        <v>966</v>
      </c>
      <c r="C81" s="138" t="s">
        <v>1515</v>
      </c>
      <c r="D81" s="139">
        <v>815.97</v>
      </c>
      <c r="E81" s="138" t="s">
        <v>1367</v>
      </c>
      <c r="F81" s="138" t="s">
        <v>1368</v>
      </c>
      <c r="G81" s="138" t="s">
        <v>1369</v>
      </c>
      <c r="H81" s="138" t="s">
        <v>1476</v>
      </c>
      <c r="I81" s="139">
        <v>815.97</v>
      </c>
      <c r="K81" t="str">
        <f>IF(A81&gt;0,VLOOKUP(A81,טבלאות!$J:$K,2,0),"")</f>
        <v>אשראי מיכה</v>
      </c>
      <c r="L81" s="50" t="str">
        <f>IF(ISERROR(VLOOKUP(B81,טבלאות!$G:$H,2,0)),"",VLOOKUP(B81,טבלאות!$G:$H,2,0))</f>
        <v>מזון ומשקאות</v>
      </c>
      <c r="M81" s="51">
        <f t="shared" si="1"/>
        <v>815.97</v>
      </c>
    </row>
    <row r="82" spans="1:13" hidden="1">
      <c r="A82" s="138" t="s">
        <v>1355</v>
      </c>
      <c r="B82" s="138" t="s">
        <v>649</v>
      </c>
      <c r="C82" s="138" t="s">
        <v>1515</v>
      </c>
      <c r="D82" s="139">
        <v>72</v>
      </c>
      <c r="E82" s="138" t="s">
        <v>1367</v>
      </c>
      <c r="F82" s="138" t="s">
        <v>1368</v>
      </c>
      <c r="G82" s="138" t="s">
        <v>1369</v>
      </c>
      <c r="H82" s="138" t="s">
        <v>1476</v>
      </c>
      <c r="I82" s="139">
        <v>72</v>
      </c>
      <c r="K82" t="str">
        <f>IF(A82&gt;0,VLOOKUP(A82,טבלאות!$J:$K,2,0),"")</f>
        <v>אשראי מיכה</v>
      </c>
      <c r="L82" s="50" t="str">
        <f>IF(ISERROR(VLOOKUP(B82,טבלאות!$G:$H,2,0)),"",VLOOKUP(B82,טבלאות!$G:$H,2,0))</f>
        <v>מזון ומשקאות</v>
      </c>
      <c r="M82" s="51">
        <f t="shared" si="1"/>
        <v>72</v>
      </c>
    </row>
    <row r="83" spans="1:13" hidden="1">
      <c r="A83" s="138" t="s">
        <v>1355</v>
      </c>
      <c r="B83" s="138" t="s">
        <v>1018</v>
      </c>
      <c r="C83" s="138" t="s">
        <v>1515</v>
      </c>
      <c r="D83" s="139">
        <v>245.1</v>
      </c>
      <c r="E83" s="138" t="s">
        <v>1367</v>
      </c>
      <c r="F83" s="138" t="s">
        <v>1368</v>
      </c>
      <c r="G83" s="138" t="s">
        <v>1369</v>
      </c>
      <c r="H83" s="138" t="s">
        <v>1476</v>
      </c>
      <c r="I83" s="139">
        <v>245.1</v>
      </c>
      <c r="K83" t="str">
        <f>IF(A83&gt;0,VLOOKUP(A83,טבלאות!$J:$K,2,0),"")</f>
        <v>אשראי מיכה</v>
      </c>
      <c r="L83" s="50" t="str">
        <f>IF(ISERROR(VLOOKUP(B83,טבלאות!$G:$H,2,0)),"",VLOOKUP(B83,טבלאות!$G:$H,2,0))</f>
        <v>מוצרי חשמל ותקשורת</v>
      </c>
      <c r="M83" s="51">
        <f t="shared" si="1"/>
        <v>245.1</v>
      </c>
    </row>
    <row r="84" spans="1:13" hidden="1">
      <c r="A84" s="138" t="s">
        <v>764</v>
      </c>
      <c r="B84" s="138" t="s">
        <v>465</v>
      </c>
      <c r="C84" s="138" t="s">
        <v>1515</v>
      </c>
      <c r="D84" s="139">
        <v>52</v>
      </c>
      <c r="E84" s="138" t="s">
        <v>1367</v>
      </c>
      <c r="F84" s="138" t="s">
        <v>1368</v>
      </c>
      <c r="G84" s="138" t="s">
        <v>1369</v>
      </c>
      <c r="H84" s="138" t="s">
        <v>1476</v>
      </c>
      <c r="I84" s="139">
        <v>52</v>
      </c>
      <c r="K84" t="str">
        <f>IF(A84&gt;0,VLOOKUP(A84,טבלאות!$J:$K,2,0),"")</f>
        <v>אשראי אורנה</v>
      </c>
      <c r="L84" s="50" t="str">
        <f>IF(ISERROR(VLOOKUP(B84,טבלאות!$G:$H,2,0)),"",VLOOKUP(B84,טבלאות!$G:$H,2,0))</f>
        <v>בילוי ומסעדות</v>
      </c>
      <c r="M84" s="51">
        <f t="shared" si="1"/>
        <v>52</v>
      </c>
    </row>
    <row r="85" spans="1:13" hidden="1">
      <c r="A85" s="138" t="s">
        <v>764</v>
      </c>
      <c r="B85" s="138" t="s">
        <v>7</v>
      </c>
      <c r="C85" s="138" t="s">
        <v>1515</v>
      </c>
      <c r="D85" s="139">
        <v>144.6</v>
      </c>
      <c r="E85" s="138" t="s">
        <v>1367</v>
      </c>
      <c r="F85" s="138" t="s">
        <v>1368</v>
      </c>
      <c r="G85" s="138" t="s">
        <v>1369</v>
      </c>
      <c r="H85" s="138" t="s">
        <v>1476</v>
      </c>
      <c r="I85" s="139">
        <v>144.6</v>
      </c>
      <c r="K85" t="str">
        <f>IF(A85&gt;0,VLOOKUP(A85,טבלאות!$J:$K,2,0),"")</f>
        <v>אשראי אורנה</v>
      </c>
      <c r="L85" s="50" t="str">
        <f>IF(ISERROR(VLOOKUP(B85,טבלאות!$G:$H,2,0)),"",VLOOKUP(B85,טבלאות!$G:$H,2,0))</f>
        <v>בריאות</v>
      </c>
      <c r="M85" s="51">
        <f t="shared" si="1"/>
        <v>144.6</v>
      </c>
    </row>
    <row r="86" spans="1:13" hidden="1">
      <c r="A86" s="138" t="s">
        <v>764</v>
      </c>
      <c r="B86" s="138" t="s">
        <v>1516</v>
      </c>
      <c r="C86" s="138" t="s">
        <v>1515</v>
      </c>
      <c r="D86" s="139">
        <v>39.9</v>
      </c>
      <c r="E86" s="138" t="s">
        <v>1367</v>
      </c>
      <c r="F86" s="138" t="s">
        <v>1368</v>
      </c>
      <c r="G86" s="138" t="s">
        <v>1369</v>
      </c>
      <c r="H86" s="138" t="s">
        <v>1476</v>
      </c>
      <c r="I86" s="139">
        <v>39.9</v>
      </c>
      <c r="K86" t="str">
        <f>IF(A86&gt;0,VLOOKUP(A86,טבלאות!$J:$K,2,0),"")</f>
        <v>אשראי אורנה</v>
      </c>
      <c r="L86" s="50" t="str">
        <f>IF(ISERROR(VLOOKUP(B86,טבלאות!$G:$H,2,0)),"",VLOOKUP(B86,טבלאות!$G:$H,2,0))</f>
        <v>תרבות ופנאי</v>
      </c>
      <c r="M86" s="51">
        <f t="shared" si="1"/>
        <v>39.9</v>
      </c>
    </row>
    <row r="87" spans="1:13" hidden="1">
      <c r="A87" s="138" t="s">
        <v>764</v>
      </c>
      <c r="B87" s="138" t="s">
        <v>1079</v>
      </c>
      <c r="C87" s="138" t="s">
        <v>1515</v>
      </c>
      <c r="D87" s="139">
        <v>20</v>
      </c>
      <c r="E87" s="138" t="s">
        <v>1367</v>
      </c>
      <c r="F87" s="138" t="s">
        <v>1368</v>
      </c>
      <c r="G87" s="138" t="s">
        <v>1369</v>
      </c>
      <c r="H87" s="138" t="s">
        <v>1476</v>
      </c>
      <c r="I87" s="139">
        <v>20</v>
      </c>
      <c r="K87" t="str">
        <f>IF(A87&gt;0,VLOOKUP(A87,טבלאות!$J:$K,2,0),"")</f>
        <v>אשראי אורנה</v>
      </c>
      <c r="L87" s="50" t="str">
        <f>IF(ISERROR(VLOOKUP(B87,טבלאות!$G:$H,2,0)),"",VLOOKUP(B87,טבלאות!$G:$H,2,0))</f>
        <v>ביגוד והנעלה</v>
      </c>
      <c r="M87" s="51">
        <f t="shared" si="1"/>
        <v>20</v>
      </c>
    </row>
    <row r="88" spans="1:13" hidden="1">
      <c r="A88" s="138" t="s">
        <v>1355</v>
      </c>
      <c r="B88" s="138" t="s">
        <v>1517</v>
      </c>
      <c r="C88" s="138" t="s">
        <v>1426</v>
      </c>
      <c r="D88" s="139">
        <v>97</v>
      </c>
      <c r="E88" s="138" t="s">
        <v>1367</v>
      </c>
      <c r="F88" s="138" t="s">
        <v>1368</v>
      </c>
      <c r="G88" s="138" t="s">
        <v>1369</v>
      </c>
      <c r="H88" s="138" t="s">
        <v>1476</v>
      </c>
      <c r="I88" s="139">
        <v>97</v>
      </c>
      <c r="K88" t="str">
        <f>IF(A88&gt;0,VLOOKUP(A88,טבלאות!$J:$K,2,0),"")</f>
        <v>אשראי מיכה</v>
      </c>
      <c r="L88" s="50" t="str">
        <f>IF(ISERROR(VLOOKUP(B88,טבלאות!$G:$H,2,0)),"",VLOOKUP(B88,טבלאות!$G:$H,2,0))</f>
        <v>רכב ותחבורה</v>
      </c>
      <c r="M88" s="51">
        <f t="shared" si="1"/>
        <v>97</v>
      </c>
    </row>
    <row r="89" spans="1:13" hidden="1">
      <c r="A89" s="138" t="s">
        <v>1355</v>
      </c>
      <c r="B89" s="138" t="s">
        <v>1518</v>
      </c>
      <c r="C89" s="138" t="s">
        <v>1519</v>
      </c>
      <c r="D89" s="139">
        <v>0.19</v>
      </c>
      <c r="E89" s="138" t="s">
        <v>1367</v>
      </c>
      <c r="F89" s="138" t="s">
        <v>1372</v>
      </c>
      <c r="G89" s="138" t="s">
        <v>1467</v>
      </c>
      <c r="H89" s="138" t="s">
        <v>1476</v>
      </c>
      <c r="I89" s="139">
        <v>0.19</v>
      </c>
      <c r="K89" t="str">
        <f>IF(A89&gt;0,VLOOKUP(A89,טבלאות!$J:$K,2,0),"")</f>
        <v>אשראי מיכה</v>
      </c>
      <c r="L89" s="50" t="str">
        <f>IF(ISERROR(VLOOKUP(B89,טבלאות!$G:$H,2,0)),"",VLOOKUP(B89,טבלאות!$G:$H,2,0))</f>
        <v>שונות</v>
      </c>
      <c r="M89" s="51">
        <f t="shared" si="1"/>
        <v>0.19</v>
      </c>
    </row>
    <row r="90" spans="1:13" hidden="1">
      <c r="A90" s="138" t="s">
        <v>1355</v>
      </c>
      <c r="B90" s="138" t="s">
        <v>541</v>
      </c>
      <c r="C90" s="138" t="s">
        <v>1519</v>
      </c>
      <c r="D90" s="139">
        <v>90</v>
      </c>
      <c r="E90" s="138" t="s">
        <v>1367</v>
      </c>
      <c r="F90" s="138" t="s">
        <v>1368</v>
      </c>
      <c r="G90" s="138" t="s">
        <v>1369</v>
      </c>
      <c r="H90" s="138" t="s">
        <v>1476</v>
      </c>
      <c r="I90" s="139">
        <v>90</v>
      </c>
      <c r="K90" t="str">
        <f>IF(A90&gt;0,VLOOKUP(A90,טבלאות!$J:$K,2,0),"")</f>
        <v>אשראי מיכה</v>
      </c>
      <c r="L90" s="50" t="str">
        <f>IF(ISERROR(VLOOKUP(B90,טבלאות!$G:$H,2,0)),"",VLOOKUP(B90,טבלאות!$G:$H,2,0))</f>
        <v>רכב ותחבורה</v>
      </c>
      <c r="M90" s="51">
        <f t="shared" si="1"/>
        <v>90</v>
      </c>
    </row>
    <row r="91" spans="1:13" hidden="1">
      <c r="A91" s="138" t="s">
        <v>1355</v>
      </c>
      <c r="B91" s="138" t="s">
        <v>966</v>
      </c>
      <c r="C91" s="138" t="s">
        <v>1519</v>
      </c>
      <c r="D91" s="139">
        <v>16.399999999999999</v>
      </c>
      <c r="E91" s="138" t="s">
        <v>1367</v>
      </c>
      <c r="F91" s="138" t="s">
        <v>1368</v>
      </c>
      <c r="G91" s="138" t="s">
        <v>1369</v>
      </c>
      <c r="H91" s="138" t="s">
        <v>1476</v>
      </c>
      <c r="I91" s="139">
        <v>16.399999999999999</v>
      </c>
      <c r="K91" t="str">
        <f>IF(A91&gt;0,VLOOKUP(A91,טבלאות!$J:$K,2,0),"")</f>
        <v>אשראי מיכה</v>
      </c>
      <c r="L91" s="50" t="str">
        <f>IF(ISERROR(VLOOKUP(B91,טבלאות!$G:$H,2,0)),"",VLOOKUP(B91,טבלאות!$G:$H,2,0))</f>
        <v>מזון ומשקאות</v>
      </c>
      <c r="M91" s="51">
        <f t="shared" si="1"/>
        <v>16.399999999999999</v>
      </c>
    </row>
    <row r="92" spans="1:13" hidden="1">
      <c r="A92" s="138" t="s">
        <v>764</v>
      </c>
      <c r="B92" s="138" t="s">
        <v>493</v>
      </c>
      <c r="C92" s="138" t="s">
        <v>1519</v>
      </c>
      <c r="D92" s="139">
        <v>382.9</v>
      </c>
      <c r="E92" s="138" t="s">
        <v>1367</v>
      </c>
      <c r="F92" s="138" t="s">
        <v>1368</v>
      </c>
      <c r="G92" s="138" t="s">
        <v>1375</v>
      </c>
      <c r="H92" s="138" t="s">
        <v>1476</v>
      </c>
      <c r="I92" s="139">
        <v>382.9</v>
      </c>
      <c r="K92" t="str">
        <f>IF(A92&gt;0,VLOOKUP(A92,טבלאות!$J:$K,2,0),"")</f>
        <v>אשראי אורנה</v>
      </c>
      <c r="L92" s="50" t="str">
        <f>IF(ISERROR(VLOOKUP(B92,טבלאות!$G:$H,2,0)),"",VLOOKUP(B92,טבלאות!$G:$H,2,0))</f>
        <v>בית וגן</v>
      </c>
      <c r="M92" s="51">
        <f t="shared" si="1"/>
        <v>382.9</v>
      </c>
    </row>
    <row r="93" spans="1:13" hidden="1">
      <c r="A93" s="138" t="s">
        <v>764</v>
      </c>
      <c r="B93" s="138" t="s">
        <v>516</v>
      </c>
      <c r="C93" s="138" t="s">
        <v>1519</v>
      </c>
      <c r="D93" s="139">
        <v>30</v>
      </c>
      <c r="E93" s="138" t="s">
        <v>1367</v>
      </c>
      <c r="F93" s="138" t="s">
        <v>1368</v>
      </c>
      <c r="G93" s="138" t="s">
        <v>1375</v>
      </c>
      <c r="H93" s="138" t="s">
        <v>1476</v>
      </c>
      <c r="I93" s="139">
        <v>30</v>
      </c>
      <c r="K93" t="str">
        <f>IF(A93&gt;0,VLOOKUP(A93,טבלאות!$J:$K,2,0),"")</f>
        <v>אשראי אורנה</v>
      </c>
      <c r="L93" s="50" t="str">
        <f>IF(ISERROR(VLOOKUP(B93,טבלאות!$G:$H,2,0)),"",VLOOKUP(B93,טבלאות!$G:$H,2,0))</f>
        <v>שונות</v>
      </c>
      <c r="M93" s="51">
        <f t="shared" si="1"/>
        <v>30</v>
      </c>
    </row>
    <row r="94" spans="1:13" hidden="1">
      <c r="A94" s="138" t="s">
        <v>764</v>
      </c>
      <c r="B94" s="138" t="s">
        <v>1381</v>
      </c>
      <c r="C94" s="138" t="s">
        <v>1382</v>
      </c>
      <c r="D94" s="139">
        <v>8956</v>
      </c>
      <c r="E94" s="138" t="s">
        <v>1367</v>
      </c>
      <c r="F94" s="138" t="s">
        <v>1383</v>
      </c>
      <c r="G94" s="138" t="s">
        <v>1520</v>
      </c>
      <c r="H94" s="138" t="s">
        <v>1476</v>
      </c>
      <c r="I94" s="139">
        <v>746</v>
      </c>
      <c r="K94" t="str">
        <f>IF(A94&gt;0,VLOOKUP(A94,טבלאות!$J:$K,2,0),"")</f>
        <v>אשראי אורנה</v>
      </c>
      <c r="L94" s="50" t="str">
        <f>IF(ISERROR(VLOOKUP(B94,טבלאות!$G:$H,2,0)),"",VLOOKUP(B94,טבלאות!$G:$H,2,0))</f>
        <v>בית ספר</v>
      </c>
      <c r="M94" s="51">
        <f t="shared" si="1"/>
        <v>746</v>
      </c>
    </row>
    <row r="95" spans="1:13" hidden="1">
      <c r="A95" s="138" t="s">
        <v>764</v>
      </c>
      <c r="B95" s="138" t="s">
        <v>113</v>
      </c>
      <c r="C95" s="138" t="s">
        <v>1418</v>
      </c>
      <c r="D95" s="139">
        <v>2430</v>
      </c>
      <c r="E95" s="138" t="s">
        <v>1367</v>
      </c>
      <c r="F95" s="138" t="s">
        <v>1383</v>
      </c>
      <c r="G95" s="138" t="s">
        <v>1521</v>
      </c>
      <c r="H95" s="138" t="s">
        <v>1476</v>
      </c>
      <c r="I95" s="139">
        <v>270</v>
      </c>
      <c r="K95" t="str">
        <f>IF(A95&gt;0,VLOOKUP(A95,טבלאות!$J:$K,2,0),"")</f>
        <v>אשראי אורנה</v>
      </c>
      <c r="L95" s="50" t="str">
        <f>IF(ISERROR(VLOOKUP(B95,טבלאות!$G:$H,2,0)),"",VLOOKUP(B95,טבלאות!$G:$H,2,0))</f>
        <v>חוגים</v>
      </c>
      <c r="M95" s="51">
        <f t="shared" si="1"/>
        <v>270</v>
      </c>
    </row>
    <row r="96" spans="1:13" hidden="1">
      <c r="A96" s="138" t="s">
        <v>764</v>
      </c>
      <c r="B96" s="138" t="s">
        <v>207</v>
      </c>
      <c r="C96" s="138" t="s">
        <v>1420</v>
      </c>
      <c r="D96" s="139">
        <v>3650</v>
      </c>
      <c r="E96" s="138" t="s">
        <v>1367</v>
      </c>
      <c r="F96" s="138" t="s">
        <v>1383</v>
      </c>
      <c r="G96" s="138" t="s">
        <v>1522</v>
      </c>
      <c r="H96" s="138" t="s">
        <v>1476</v>
      </c>
      <c r="I96" s="139">
        <v>365</v>
      </c>
      <c r="K96" t="str">
        <f>IF(A96&gt;0,VLOOKUP(A96,טבלאות!$J:$K,2,0),"")</f>
        <v>אשראי אורנה</v>
      </c>
      <c r="L96" s="50" t="str">
        <f>IF(ISERROR(VLOOKUP(B96,טבלאות!$G:$H,2,0)),"",VLOOKUP(B96,טבלאות!$G:$H,2,0))</f>
        <v>חוגים</v>
      </c>
      <c r="M96" s="51">
        <f t="shared" si="1"/>
        <v>365</v>
      </c>
    </row>
    <row r="97" spans="1:13" hidden="1">
      <c r="A97" t="s">
        <v>626</v>
      </c>
      <c r="B97" s="105" t="s">
        <v>930</v>
      </c>
      <c r="C97" s="137">
        <v>46065</v>
      </c>
      <c r="D97" s="105">
        <v>70.599999999999994</v>
      </c>
      <c r="H97" s="137">
        <v>46083</v>
      </c>
      <c r="I97" s="105">
        <v>70.599999999999994</v>
      </c>
      <c r="L97" s="50" t="str">
        <f>IF(ISERROR(VLOOKUP(B97,טבלאות!$G:$H,2,0)),"",VLOOKUP(B97,טבלאות!$G:$H,2,0))</f>
        <v>מזון ומשקאות</v>
      </c>
      <c r="M97" s="51">
        <f t="shared" si="1"/>
        <v>70.599999999999994</v>
      </c>
    </row>
    <row r="98" spans="1:13" hidden="1">
      <c r="A98" t="s">
        <v>626</v>
      </c>
      <c r="B98" s="105" t="s">
        <v>109</v>
      </c>
      <c r="C98" s="137">
        <v>46057</v>
      </c>
      <c r="D98" s="105">
        <v>12.9</v>
      </c>
      <c r="H98" s="137">
        <v>46083</v>
      </c>
      <c r="I98" s="105">
        <v>0</v>
      </c>
      <c r="L98" s="50" t="str">
        <f>IF(ISERROR(VLOOKUP(B98,טבלאות!$G:$H,2,0)),"",VLOOKUP(B98,טבלאות!$G:$H,2,0))</f>
        <v>שירותי בנקאות</v>
      </c>
      <c r="M98" s="51">
        <f t="shared" si="1"/>
        <v>0</v>
      </c>
    </row>
    <row r="99" spans="1:13" hidden="1">
      <c r="A99" t="s">
        <v>626</v>
      </c>
      <c r="B99" s="138" t="s">
        <v>1523</v>
      </c>
      <c r="C99" s="137">
        <v>46061</v>
      </c>
      <c r="D99" s="139">
        <v>83</v>
      </c>
      <c r="H99" s="137">
        <v>46083</v>
      </c>
      <c r="I99" s="139">
        <v>83</v>
      </c>
      <c r="L99" s="50" t="str">
        <f>IF(ISERROR(VLOOKUP(B99,טבלאות!$G:$H,2,0)),"",VLOOKUP(B99,טבלאות!$G:$H,2,0))</f>
        <v>מזון ומשקאות</v>
      </c>
      <c r="M99" s="51">
        <f t="shared" si="1"/>
        <v>83</v>
      </c>
    </row>
    <row r="100" spans="1:13" hidden="1">
      <c r="A100" t="s">
        <v>665</v>
      </c>
      <c r="B100" s="138" t="s">
        <v>1356</v>
      </c>
      <c r="C100" s="137">
        <v>46039</v>
      </c>
      <c r="D100" s="139">
        <v>5250</v>
      </c>
      <c r="H100" s="137">
        <v>46083</v>
      </c>
      <c r="I100" s="139">
        <v>5250</v>
      </c>
      <c r="L100" s="50" t="str">
        <f>IF(ISERROR(VLOOKUP(B100,טבלאות!$G:$H,2,0)),"",VLOOKUP(B100,טבלאות!$G:$H,2,0))</f>
        <v>חינוך ומשפחה</v>
      </c>
      <c r="M100" s="51">
        <f t="shared" si="1"/>
        <v>5250</v>
      </c>
    </row>
    <row r="101" spans="1:13" hidden="1">
      <c r="A101" t="s">
        <v>697</v>
      </c>
      <c r="B101" s="138" t="s">
        <v>770</v>
      </c>
      <c r="C101" s="137">
        <v>46060</v>
      </c>
      <c r="D101" s="139">
        <v>205</v>
      </c>
      <c r="H101" s="137">
        <v>46083</v>
      </c>
      <c r="I101" s="139">
        <v>205</v>
      </c>
      <c r="L101" s="50" t="str">
        <f>IF(ISERROR(VLOOKUP(B101,טבלאות!$G:$H,2,0)),"",VLOOKUP(B101,טבלאות!$G:$H,2,0))</f>
        <v>תרבות ופנאי</v>
      </c>
      <c r="M101" s="51">
        <f t="shared" si="1"/>
        <v>205</v>
      </c>
    </row>
    <row r="102" spans="1:13">
      <c r="A102" t="s">
        <v>697</v>
      </c>
      <c r="B102" s="105" t="s">
        <v>1205</v>
      </c>
      <c r="C102" s="137">
        <v>46065</v>
      </c>
      <c r="D102" s="139">
        <v>53.07</v>
      </c>
      <c r="H102" s="137">
        <v>46083</v>
      </c>
      <c r="I102" s="139">
        <v>53.07</v>
      </c>
      <c r="L102" s="50" t="str">
        <f>IF(ISERROR(VLOOKUP(B102,טבלאות!$G:$H,2,0)),"",VLOOKUP(B102,טבלאות!$G:$H,2,0))</f>
        <v>ביטוח</v>
      </c>
      <c r="M102" s="51">
        <f t="shared" si="1"/>
        <v>53.07</v>
      </c>
    </row>
    <row r="103" spans="1:13">
      <c r="A103" t="s">
        <v>697</v>
      </c>
      <c r="B103" s="105" t="s">
        <v>1205</v>
      </c>
      <c r="C103" s="137">
        <v>46065</v>
      </c>
      <c r="D103" s="139">
        <v>53.07</v>
      </c>
      <c r="H103" s="137">
        <v>46083</v>
      </c>
      <c r="I103" s="139">
        <v>53.07</v>
      </c>
      <c r="L103" s="50" t="str">
        <f>IF(ISERROR(VLOOKUP(B103,טבלאות!$G:$H,2,0)),"",VLOOKUP(B103,טבלאות!$G:$H,2,0))</f>
        <v>ביטוח</v>
      </c>
      <c r="M103" s="51">
        <f t="shared" si="1"/>
        <v>53.07</v>
      </c>
    </row>
    <row r="104" spans="1:13">
      <c r="A104" t="s">
        <v>697</v>
      </c>
      <c r="B104" s="105" t="s">
        <v>1205</v>
      </c>
      <c r="C104" s="137">
        <v>46065</v>
      </c>
      <c r="D104" s="139">
        <v>107.13</v>
      </c>
      <c r="H104" s="137">
        <v>46083</v>
      </c>
      <c r="I104" s="139">
        <v>107.13</v>
      </c>
      <c r="L104" s="50" t="str">
        <f>IF(ISERROR(VLOOKUP(B104,טבלאות!$G:$H,2,0)),"",VLOOKUP(B104,טבלאות!$G:$H,2,0))</f>
        <v>ביטוח</v>
      </c>
      <c r="M104" s="51">
        <f t="shared" si="1"/>
        <v>107.13</v>
      </c>
    </row>
    <row r="105" spans="1:13">
      <c r="A105" t="s">
        <v>697</v>
      </c>
      <c r="B105" s="105" t="s">
        <v>1205</v>
      </c>
      <c r="C105" s="137">
        <v>46065</v>
      </c>
      <c r="D105" s="139">
        <v>142.26</v>
      </c>
      <c r="H105" s="137">
        <v>46083</v>
      </c>
      <c r="I105" s="139">
        <v>142.26</v>
      </c>
      <c r="L105" s="50" t="str">
        <f>IF(ISERROR(VLOOKUP(B105,טבלאות!$G:$H,2,0)),"",VLOOKUP(B105,טבלאות!$G:$H,2,0))</f>
        <v>ביטוח</v>
      </c>
      <c r="M105" s="51">
        <f t="shared" si="1"/>
        <v>142.26</v>
      </c>
    </row>
    <row r="106" spans="1:13">
      <c r="A106" t="s">
        <v>697</v>
      </c>
      <c r="B106" s="105" t="s">
        <v>1205</v>
      </c>
      <c r="C106" s="137">
        <v>46065</v>
      </c>
      <c r="D106" s="139">
        <v>138.94</v>
      </c>
      <c r="H106" s="137">
        <v>46083</v>
      </c>
      <c r="I106" s="139">
        <v>138.94</v>
      </c>
      <c r="L106" s="50" t="str">
        <f>IF(ISERROR(VLOOKUP(B106,טבלאות!$G:$H,2,0)),"",VLOOKUP(B106,טבלאות!$G:$H,2,0))</f>
        <v>ביטוח</v>
      </c>
      <c r="M106" s="51">
        <f t="shared" si="1"/>
        <v>138.94</v>
      </c>
    </row>
    <row r="107" spans="1:13" hidden="1">
      <c r="A107" t="s">
        <v>1346</v>
      </c>
      <c r="B107" s="105" t="s">
        <v>1524</v>
      </c>
      <c r="C107" s="55">
        <v>46038</v>
      </c>
      <c r="D107" s="141">
        <v>40.270000000000003</v>
      </c>
      <c r="H107" s="137">
        <v>46083</v>
      </c>
      <c r="I107" s="139">
        <v>128.77000000000001</v>
      </c>
      <c r="L107" s="50" t="str">
        <f>IF(ISERROR(VLOOKUP(B107,טבלאות!$G:$H,2,0)),"",VLOOKUP(B107,טבלאות!$G:$H,2,0))</f>
        <v>ילדים</v>
      </c>
      <c r="M107" s="51">
        <f t="shared" si="1"/>
        <v>128.77000000000001</v>
      </c>
    </row>
    <row r="108" spans="1:13">
      <c r="A108" t="s">
        <v>1346</v>
      </c>
      <c r="B108" t="s">
        <v>894</v>
      </c>
      <c r="C108" s="55">
        <v>46058</v>
      </c>
      <c r="D108" s="139">
        <v>367.23</v>
      </c>
      <c r="H108" s="137">
        <v>46083</v>
      </c>
      <c r="I108" s="139">
        <v>367.23</v>
      </c>
      <c r="L108" s="50" t="str">
        <f>IF(ISERROR(VLOOKUP(B108,טבלאות!$G:$H,2,0)),"",VLOOKUP(B108,טבלאות!$G:$H,2,0))</f>
        <v>ביטוח</v>
      </c>
      <c r="M108" s="51">
        <f t="shared" si="1"/>
        <v>367.23</v>
      </c>
    </row>
    <row r="109" spans="1:13" hidden="1">
      <c r="A109" t="s">
        <v>1346</v>
      </c>
      <c r="B109" t="s">
        <v>198</v>
      </c>
      <c r="C109" s="55">
        <v>46076</v>
      </c>
      <c r="D109" s="139">
        <v>10</v>
      </c>
      <c r="H109" s="137">
        <v>46083</v>
      </c>
      <c r="I109" s="139">
        <v>10</v>
      </c>
      <c r="L109" s="50" t="str">
        <f>IF(ISERROR(VLOOKUP(B109,טבלאות!$G:$H,2,0)),"",VLOOKUP(B109,טבלאות!$G:$H,2,0))</f>
        <v>רכב ותחבורה</v>
      </c>
      <c r="M109" s="51">
        <f t="shared" si="1"/>
        <v>10</v>
      </c>
    </row>
    <row r="110" spans="1:13" hidden="1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1:13" hidden="1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1:13" hidden="1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 hidden="1">
      <c r="L113" s="50" t="str">
        <f>IF(ISERROR(VLOOKUP(B113,טבלאות!$G:$H,2,0)),"",VLOOKUP(B113,טבלאות!$G:$H,2,0))</f>
        <v/>
      </c>
      <c r="M113" s="51" t="str">
        <f t="shared" si="1"/>
        <v/>
      </c>
    </row>
  </sheetData>
  <autoFilter ref="A1:N113" xr:uid="{00000000-0009-0000-0000-000006000000}">
    <filterColumn colId="11">
      <filters>
        <filter val="ביטוח"/>
      </filters>
    </filterColumn>
  </autoFilter>
  <conditionalFormatting sqref="L2:L113">
    <cfRule type="cellIs" dxfId="9" priority="1" operator="equal">
      <formula>""</formula>
    </cfRule>
  </conditionalFormatting>
  <dataValidations count="2">
    <dataValidation type="list" allowBlank="1" showInputMessage="1" showErrorMessage="1" sqref="L2:L113" xr:uid="{42E5623E-9B88-4F94-8585-63EBBDFBE578}">
      <formula1>סוגי_הוצאות</formula1>
    </dataValidation>
    <dataValidation type="list" allowBlank="1" showInputMessage="1" showErrorMessage="1" sqref="K2:K113" xr:uid="{068547B2-25AE-4805-80F6-AE66E6E2ACFC}">
      <formula1>סוג_כרטיס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G113"/>
  <sheetViews>
    <sheetView rightToLeft="1" zoomScale="85" zoomScaleNormal="85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A83" sqref="A83"/>
    </sheetView>
  </sheetViews>
  <sheetFormatPr defaultRowHeight="15"/>
  <cols>
    <col min="1" max="1" width="16.42578125" customWidth="1"/>
    <col min="2" max="2" width="21.7109375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0" max="10" width="9.7109375" bestFit="1" customWidth="1"/>
    <col min="11" max="11" width="12.140625" style="73" customWidth="1"/>
    <col min="12" max="12" width="17" style="73" bestFit="1" customWidth="1"/>
    <col min="13" max="13" width="9.140625" style="73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 s="36" customFormat="1" ht="19.5" hidden="1" customHeight="1">
      <c r="A2" s="105" t="s">
        <v>1355</v>
      </c>
      <c r="B2" s="138" t="s">
        <v>1241</v>
      </c>
      <c r="C2" s="142">
        <v>46112</v>
      </c>
      <c r="D2" s="139">
        <v>37</v>
      </c>
      <c r="E2" s="138"/>
      <c r="F2" s="138"/>
      <c r="G2" s="138"/>
      <c r="H2" s="138"/>
      <c r="I2" s="139">
        <v>37</v>
      </c>
      <c r="J2" s="106"/>
      <c r="K2" t="str">
        <f>IF(A2&gt;0,VLOOKUP(A2,טבלאות!$J:$K,2,0),"")</f>
        <v>אשראי מיכה</v>
      </c>
      <c r="L2" s="50" t="str">
        <f>IF(ISERROR(VLOOKUP(B2,טבלאות!$G:$H,2,0)),"",VLOOKUP(B2,טבלאות!$G:$H,2,0))</f>
        <v>מוצרי חשמל ותקשורת</v>
      </c>
      <c r="M2" s="51">
        <f t="shared" ref="M2:M65" si="0">IF(OR(L2="",L2="?"),"",IF(L2&gt;0,I2,""))</f>
        <v>37</v>
      </c>
    </row>
    <row r="3" spans="1:111" ht="15" hidden="1" customHeight="1">
      <c r="A3" s="105" t="s">
        <v>1355</v>
      </c>
      <c r="B3" s="138" t="s">
        <v>1250</v>
      </c>
      <c r="C3" s="142">
        <v>46112</v>
      </c>
      <c r="D3" s="139">
        <v>45</v>
      </c>
      <c r="E3" s="138"/>
      <c r="F3" s="138"/>
      <c r="G3" s="138"/>
      <c r="H3" s="138"/>
      <c r="I3" s="139">
        <v>45</v>
      </c>
      <c r="J3" s="106"/>
      <c r="K3" t="str">
        <f>IF(A3&gt;0,VLOOKUP(A3,טבלאות!$J:$K,2,0),"")</f>
        <v>אשראי מיכה</v>
      </c>
      <c r="L3" s="50" t="str">
        <f>IF(ISERROR(VLOOKUP(B3,טבלאות!$G:$H,2,0)),"",VLOOKUP(B3,טבלאות!$G:$H,2,0))</f>
        <v>בית וגן</v>
      </c>
      <c r="M3" s="51">
        <f t="shared" si="0"/>
        <v>45</v>
      </c>
    </row>
    <row r="4" spans="1:111" ht="15" hidden="1" customHeight="1">
      <c r="A4" s="105" t="s">
        <v>1355</v>
      </c>
      <c r="B4" s="138" t="s">
        <v>1525</v>
      </c>
      <c r="C4" s="142">
        <v>46111</v>
      </c>
      <c r="D4" s="139">
        <v>32.6</v>
      </c>
      <c r="E4" s="138"/>
      <c r="F4" s="138"/>
      <c r="G4" s="138"/>
      <c r="H4" s="138"/>
      <c r="I4" s="139">
        <v>32.6</v>
      </c>
      <c r="J4" s="106"/>
      <c r="K4" t="str">
        <f>IF(A4&gt;0,VLOOKUP(A4,טבלאות!$J:$K,2,0),"")</f>
        <v>אשראי מיכה</v>
      </c>
      <c r="L4" s="50" t="str">
        <f>IF(ISERROR(VLOOKUP(B4,טבלאות!$G:$H,2,0)),"",VLOOKUP(B4,טבלאות!$G:$H,2,0))</f>
        <v>מזון ומשקאות</v>
      </c>
      <c r="M4" s="51">
        <f t="shared" si="0"/>
        <v>32.6</v>
      </c>
    </row>
    <row r="5" spans="1:111" ht="20.25" customHeight="1">
      <c r="A5" s="105" t="s">
        <v>1355</v>
      </c>
      <c r="B5" s="138" t="s">
        <v>1132</v>
      </c>
      <c r="C5" s="142">
        <v>46111</v>
      </c>
      <c r="D5" s="139">
        <v>79.92</v>
      </c>
      <c r="E5" s="138"/>
      <c r="F5" s="138"/>
      <c r="G5" s="138"/>
      <c r="H5" s="138"/>
      <c r="I5" s="139">
        <v>79.92</v>
      </c>
      <c r="J5" s="106"/>
      <c r="K5" t="str">
        <f>IF(A5&gt;0,VLOOKUP(A5,טבלאות!$J:$K,2,0),"")</f>
        <v>אשראי מיכה</v>
      </c>
      <c r="L5" s="50" t="str">
        <f>IF(ISERROR(VLOOKUP(B5,טבלאות!$G:$H,2,0)),"",VLOOKUP(B5,טבלאות!$G:$H,2,0))</f>
        <v>ביטוח</v>
      </c>
      <c r="M5" s="51">
        <f t="shared" si="0"/>
        <v>79.92</v>
      </c>
    </row>
    <row r="6" spans="1:111" ht="15.75" hidden="1" customHeight="1">
      <c r="A6" s="105" t="s">
        <v>1355</v>
      </c>
      <c r="B6" s="138" t="s">
        <v>1155</v>
      </c>
      <c r="C6" s="142">
        <v>46110</v>
      </c>
      <c r="D6" s="139">
        <v>240.66</v>
      </c>
      <c r="E6" s="138"/>
      <c r="F6" s="138"/>
      <c r="G6" s="138"/>
      <c r="H6" s="138"/>
      <c r="I6" s="139">
        <v>240.66</v>
      </c>
      <c r="J6" s="106"/>
      <c r="K6" t="str">
        <f>IF(A6&gt;0,VLOOKUP(A6,טבלאות!$J:$K,2,0),"")</f>
        <v>אשראי מיכה</v>
      </c>
      <c r="L6" s="50" t="str">
        <f>IF(ISERROR(VLOOKUP(B6,טבלאות!$G:$H,2,0)),"",VLOOKUP(B6,טבלאות!$G:$H,2,0))</f>
        <v>מזון ומשקאות</v>
      </c>
      <c r="M6" s="51">
        <f t="shared" si="0"/>
        <v>240.66</v>
      </c>
    </row>
    <row r="7" spans="1:111" ht="15" hidden="1" customHeight="1">
      <c r="A7" s="105" t="s">
        <v>1355</v>
      </c>
      <c r="B7" s="138" t="s">
        <v>86</v>
      </c>
      <c r="C7" s="142">
        <v>46110</v>
      </c>
      <c r="D7" s="139">
        <v>137.01</v>
      </c>
      <c r="E7" s="138"/>
      <c r="F7" s="138"/>
      <c r="G7" s="138"/>
      <c r="H7" s="138"/>
      <c r="I7" s="139">
        <v>137.01</v>
      </c>
      <c r="J7" s="106"/>
      <c r="K7" t="str">
        <f>IF(A7&gt;0,VLOOKUP(A7,טבלאות!$J:$K,2,0),"")</f>
        <v>אשראי מיכה</v>
      </c>
      <c r="L7" s="50" t="str">
        <f>IF(ISERROR(VLOOKUP(B7,טבלאות!$G:$H,2,0)),"",VLOOKUP(B7,טבלאות!$G:$H,2,0))</f>
        <v>מוצרי חשמל ותקשורת</v>
      </c>
      <c r="M7" s="51">
        <f t="shared" si="0"/>
        <v>137.01</v>
      </c>
    </row>
    <row r="8" spans="1:111" ht="15" hidden="1" customHeight="1">
      <c r="A8" s="105" t="s">
        <v>1355</v>
      </c>
      <c r="B8" s="138" t="s">
        <v>358</v>
      </c>
      <c r="C8" s="142">
        <v>46110</v>
      </c>
      <c r="D8" s="139">
        <v>69.900000000000006</v>
      </c>
      <c r="E8" s="138"/>
      <c r="F8" s="138"/>
      <c r="G8" s="138"/>
      <c r="H8" s="138"/>
      <c r="I8" s="139">
        <v>69.900000000000006</v>
      </c>
      <c r="J8" s="106"/>
      <c r="K8" t="str">
        <f>IF(A8&gt;0,VLOOKUP(A8,טבלאות!$J:$K,2,0),"")</f>
        <v>אשראי מיכה</v>
      </c>
      <c r="L8" s="50" t="str">
        <f>IF(ISERROR(VLOOKUP(B8,טבלאות!$G:$H,2,0)),"",VLOOKUP(B8,טבלאות!$G:$H,2,0))</f>
        <v>מוצרי חשמל ותקשורת</v>
      </c>
      <c r="M8" s="51">
        <f t="shared" si="0"/>
        <v>69.900000000000006</v>
      </c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</row>
    <row r="9" spans="1:111" hidden="1">
      <c r="A9" s="105" t="s">
        <v>1355</v>
      </c>
      <c r="B9" s="138" t="s">
        <v>67</v>
      </c>
      <c r="C9" s="142">
        <v>46109</v>
      </c>
      <c r="D9" s="139">
        <v>451.07</v>
      </c>
      <c r="E9" s="138"/>
      <c r="F9" s="138"/>
      <c r="G9" s="138"/>
      <c r="H9" s="138"/>
      <c r="I9" s="139">
        <v>451.07</v>
      </c>
      <c r="J9" s="106"/>
      <c r="K9" t="str">
        <f>IF(A9&gt;0,VLOOKUP(A9,טבלאות!$J:$K,2,0),"")</f>
        <v>אשראי מיכה</v>
      </c>
      <c r="L9" s="50" t="str">
        <f>IF(ISERROR(VLOOKUP(B9,טבלאות!$G:$H,2,0)),"",VLOOKUP(B9,טבלאות!$G:$H,2,0))</f>
        <v>מזון ומשקאות</v>
      </c>
      <c r="M9" s="51">
        <f t="shared" si="0"/>
        <v>451.07</v>
      </c>
    </row>
    <row r="10" spans="1:111" hidden="1">
      <c r="A10" s="105" t="s">
        <v>1355</v>
      </c>
      <c r="B10" s="138" t="s">
        <v>1155</v>
      </c>
      <c r="C10" s="142">
        <v>46107</v>
      </c>
      <c r="D10" s="139">
        <v>437.11</v>
      </c>
      <c r="E10" s="138"/>
      <c r="F10" s="138"/>
      <c r="G10" s="138"/>
      <c r="H10" s="138"/>
      <c r="I10" s="139">
        <v>437.11</v>
      </c>
      <c r="J10" s="106"/>
      <c r="K10" t="str">
        <f>IF(A10&gt;0,VLOOKUP(A10,טבלאות!$J:$K,2,0),"")</f>
        <v>אשראי מיכה</v>
      </c>
      <c r="L10" s="50" t="str">
        <f>IF(ISERROR(VLOOKUP(B10,טבלאות!$G:$H,2,0)),"",VLOOKUP(B10,טבלאות!$G:$H,2,0))</f>
        <v>מזון ומשקאות</v>
      </c>
      <c r="M10" s="51">
        <f t="shared" si="0"/>
        <v>437.11</v>
      </c>
    </row>
    <row r="11" spans="1:111" hidden="1">
      <c r="A11" s="105" t="s">
        <v>1355</v>
      </c>
      <c r="B11" s="138" t="s">
        <v>1026</v>
      </c>
      <c r="C11" s="142">
        <v>46107</v>
      </c>
      <c r="D11" s="139">
        <v>59.7</v>
      </c>
      <c r="E11" s="138"/>
      <c r="F11" s="138"/>
      <c r="G11" s="138"/>
      <c r="H11" s="138"/>
      <c r="I11" s="139">
        <v>59.7</v>
      </c>
      <c r="J11" s="106"/>
      <c r="K11" t="str">
        <f>IF(A11&gt;0,VLOOKUP(A11,טבלאות!$J:$K,2,0),"")</f>
        <v>אשראי מיכה</v>
      </c>
      <c r="L11" s="50" t="str">
        <f>IF(ISERROR(VLOOKUP(B11,טבלאות!$G:$H,2,0)),"",VLOOKUP(B11,טבלאות!$G:$H,2,0))</f>
        <v>רכב ותחבורה</v>
      </c>
      <c r="M11" s="51">
        <f t="shared" si="0"/>
        <v>59.7</v>
      </c>
    </row>
    <row r="12" spans="1:111" hidden="1">
      <c r="A12" s="105" t="s">
        <v>1355</v>
      </c>
      <c r="B12" s="138" t="s">
        <v>649</v>
      </c>
      <c r="C12" s="142">
        <v>46107</v>
      </c>
      <c r="D12" s="139">
        <v>72</v>
      </c>
      <c r="E12" s="138"/>
      <c r="F12" s="138"/>
      <c r="G12" s="138"/>
      <c r="H12" s="138"/>
      <c r="I12" s="139">
        <v>72</v>
      </c>
      <c r="J12" s="106"/>
      <c r="K12" t="str">
        <f>IF(A12&gt;0,VLOOKUP(A12,טבלאות!$J:$K,2,0),"")</f>
        <v>אשראי מיכה</v>
      </c>
      <c r="L12" s="50" t="str">
        <f>IF(ISERROR(VLOOKUP(B12,טבלאות!$G:$H,2,0)),"",VLOOKUP(B12,טבלאות!$G:$H,2,0))</f>
        <v>מזון ומשקאות</v>
      </c>
      <c r="M12" s="51">
        <f t="shared" si="0"/>
        <v>72</v>
      </c>
    </row>
    <row r="13" spans="1:111" hidden="1">
      <c r="A13" s="105" t="s">
        <v>1355</v>
      </c>
      <c r="B13" s="138" t="s">
        <v>1193</v>
      </c>
      <c r="C13" s="142">
        <v>46105</v>
      </c>
      <c r="D13" s="139">
        <v>30.17</v>
      </c>
      <c r="E13" s="138"/>
      <c r="F13" s="138"/>
      <c r="G13" s="138"/>
      <c r="H13" s="138"/>
      <c r="I13" s="139">
        <v>30.17</v>
      </c>
      <c r="J13" s="106"/>
      <c r="K13" t="str">
        <f>IF(A13&gt;0,VLOOKUP(A13,טבלאות!$J:$K,2,0),"")</f>
        <v>אשראי מיכה</v>
      </c>
      <c r="L13" s="50" t="str">
        <f>IF(ISERROR(VLOOKUP(B13,טבלאות!$G:$H,2,0)),"",VLOOKUP(B13,טבלאות!$G:$H,2,0))</f>
        <v>מזון ומשקאות</v>
      </c>
      <c r="M13" s="51">
        <f t="shared" si="0"/>
        <v>30.17</v>
      </c>
    </row>
    <row r="14" spans="1:111" hidden="1">
      <c r="A14" s="105" t="s">
        <v>1355</v>
      </c>
      <c r="B14" s="138" t="s">
        <v>1155</v>
      </c>
      <c r="C14" s="142">
        <v>46104</v>
      </c>
      <c r="D14" s="139">
        <v>460.33</v>
      </c>
      <c r="E14" s="138"/>
      <c r="F14" s="138"/>
      <c r="G14" s="138"/>
      <c r="H14" s="138"/>
      <c r="I14" s="139">
        <v>460.33</v>
      </c>
      <c r="J14" s="106"/>
      <c r="K14" t="str">
        <f>IF(A14&gt;0,VLOOKUP(A14,טבלאות!$J:$K,2,0),"")</f>
        <v>אשראי מיכה</v>
      </c>
      <c r="L14" s="50" t="str">
        <f>IF(ISERROR(VLOOKUP(B14,טבלאות!$G:$H,2,0)),"",VLOOKUP(B14,טבלאות!$G:$H,2,0))</f>
        <v>מזון ומשקאות</v>
      </c>
      <c r="M14" s="51">
        <f t="shared" si="0"/>
        <v>460.33</v>
      </c>
    </row>
    <row r="15" spans="1:111" hidden="1">
      <c r="A15" s="105" t="s">
        <v>1355</v>
      </c>
      <c r="B15" s="138" t="s">
        <v>649</v>
      </c>
      <c r="C15" s="142">
        <v>46104</v>
      </c>
      <c r="D15" s="139">
        <v>128</v>
      </c>
      <c r="E15" s="138"/>
      <c r="F15" s="138"/>
      <c r="G15" s="138"/>
      <c r="H15" s="138"/>
      <c r="I15" s="139">
        <v>128</v>
      </c>
      <c r="J15" s="106"/>
      <c r="K15" t="str">
        <f>IF(A15&gt;0,VLOOKUP(A15,טבלאות!$J:$K,2,0),"")</f>
        <v>אשראי מיכה</v>
      </c>
      <c r="L15" s="50" t="str">
        <f>IF(ISERROR(VLOOKUP(B15,טבלאות!$G:$H,2,0)),"",VLOOKUP(B15,טבלאות!$G:$H,2,0))</f>
        <v>מזון ומשקאות</v>
      </c>
      <c r="M15" s="51">
        <f t="shared" si="0"/>
        <v>128</v>
      </c>
    </row>
    <row r="16" spans="1:111" hidden="1">
      <c r="A16" s="105" t="s">
        <v>1355</v>
      </c>
      <c r="B16" s="138" t="s">
        <v>1212</v>
      </c>
      <c r="C16" s="142">
        <v>46104</v>
      </c>
      <c r="D16" s="139">
        <v>128.11000000000001</v>
      </c>
      <c r="E16" s="138"/>
      <c r="F16" s="138"/>
      <c r="G16" s="138"/>
      <c r="H16" s="138"/>
      <c r="I16" s="139">
        <v>128.11000000000001</v>
      </c>
      <c r="J16" s="106"/>
      <c r="K16" t="str">
        <f>IF(A16&gt;0,VLOOKUP(A16,טבלאות!$J:$K,2,0),"")</f>
        <v>אשראי מיכה</v>
      </c>
      <c r="L16" s="50" t="str">
        <f>IF(ISERROR(VLOOKUP(B16,טבלאות!$G:$H,2,0)),"",VLOOKUP(B16,טבלאות!$G:$H,2,0))</f>
        <v>בריאות</v>
      </c>
      <c r="M16" s="51">
        <f t="shared" si="0"/>
        <v>128.11000000000001</v>
      </c>
    </row>
    <row r="17" spans="1:13" hidden="1">
      <c r="A17" s="105" t="s">
        <v>1355</v>
      </c>
      <c r="B17" s="138" t="s">
        <v>76</v>
      </c>
      <c r="C17" s="142">
        <v>46104</v>
      </c>
      <c r="D17" s="139">
        <v>69.84</v>
      </c>
      <c r="E17" s="138"/>
      <c r="F17" s="138"/>
      <c r="G17" s="138"/>
      <c r="H17" s="138"/>
      <c r="I17" s="139">
        <v>69.84</v>
      </c>
      <c r="J17" s="106"/>
      <c r="K17" t="str">
        <f>IF(A17&gt;0,VLOOKUP(A17,טבלאות!$J:$K,2,0),"")</f>
        <v>אשראי מיכה</v>
      </c>
      <c r="L17" s="50" t="str">
        <f>IF(ISERROR(VLOOKUP(B17,טבלאות!$G:$H,2,0)),"",VLOOKUP(B17,טבלאות!$G:$H,2,0))</f>
        <v>בריאות</v>
      </c>
      <c r="M17" s="51">
        <f t="shared" si="0"/>
        <v>69.84</v>
      </c>
    </row>
    <row r="18" spans="1:13" hidden="1">
      <c r="A18" s="105" t="s">
        <v>1355</v>
      </c>
      <c r="B18" s="138" t="s">
        <v>518</v>
      </c>
      <c r="C18" s="142">
        <v>46103</v>
      </c>
      <c r="D18" s="139">
        <v>13.13</v>
      </c>
      <c r="E18" s="138"/>
      <c r="F18" s="138"/>
      <c r="G18" s="138"/>
      <c r="H18" s="138"/>
      <c r="I18" s="139">
        <v>13.13</v>
      </c>
      <c r="J18" s="106"/>
      <c r="K18" t="str">
        <f>IF(A18&gt;0,VLOOKUP(A18,טבלאות!$J:$K,2,0),"")</f>
        <v>אשראי מיכה</v>
      </c>
      <c r="L18" s="50" t="str">
        <f>IF(ISERROR(VLOOKUP(B18,טבלאות!$G:$H,2,0)),"",VLOOKUP(B18,טבלאות!$G:$H,2,0))</f>
        <v>מזון ומשקאות</v>
      </c>
      <c r="M18" s="51">
        <f t="shared" si="0"/>
        <v>13.13</v>
      </c>
    </row>
    <row r="19" spans="1:13" hidden="1">
      <c r="A19" s="105" t="s">
        <v>1355</v>
      </c>
      <c r="B19" s="138" t="s">
        <v>1173</v>
      </c>
      <c r="C19" s="142">
        <v>46099</v>
      </c>
      <c r="D19" s="139">
        <v>64.52</v>
      </c>
      <c r="E19" s="138"/>
      <c r="F19" s="138"/>
      <c r="G19" s="138"/>
      <c r="H19" s="138"/>
      <c r="I19" s="139">
        <v>64.52</v>
      </c>
      <c r="J19" s="106"/>
      <c r="K19" t="str">
        <f>IF(A19&gt;0,VLOOKUP(A19,טבלאות!$J:$K,2,0),"")</f>
        <v>אשראי מיכה</v>
      </c>
      <c r="L19" s="50" t="str">
        <f>IF(ISERROR(VLOOKUP(B19,טבלאות!$G:$H,2,0)),"",VLOOKUP(B19,טבלאות!$G:$H,2,0))</f>
        <v>בית וגן</v>
      </c>
      <c r="M19" s="51">
        <f t="shared" si="0"/>
        <v>64.52</v>
      </c>
    </row>
    <row r="20" spans="1:13" hidden="1">
      <c r="A20" s="105" t="s">
        <v>1355</v>
      </c>
      <c r="B20" s="138" t="s">
        <v>246</v>
      </c>
      <c r="C20" s="142">
        <v>46099</v>
      </c>
      <c r="D20" s="139">
        <v>45</v>
      </c>
      <c r="E20" s="138"/>
      <c r="F20" s="138"/>
      <c r="G20" s="138"/>
      <c r="H20" s="138"/>
      <c r="I20" s="139">
        <v>45</v>
      </c>
      <c r="J20" s="106"/>
      <c r="K20" t="str">
        <f>IF(A20&gt;0,VLOOKUP(A20,טבלאות!$J:$K,2,0),"")</f>
        <v>אשראי מיכה</v>
      </c>
      <c r="L20" s="50" t="str">
        <f>IF(ISERROR(VLOOKUP(B20,טבלאות!$G:$H,2,0)),"",VLOOKUP(B20,טבלאות!$G:$H,2,0))</f>
        <v>חוגים</v>
      </c>
      <c r="M20" s="51">
        <f t="shared" si="0"/>
        <v>45</v>
      </c>
    </row>
    <row r="21" spans="1:13" hidden="1">
      <c r="A21" s="105" t="s">
        <v>1355</v>
      </c>
      <c r="B21" s="138" t="s">
        <v>1193</v>
      </c>
      <c r="C21" s="142">
        <v>46098</v>
      </c>
      <c r="D21" s="139">
        <v>54.76</v>
      </c>
      <c r="E21" s="138"/>
      <c r="F21" s="138"/>
      <c r="G21" s="138"/>
      <c r="H21" s="138"/>
      <c r="I21" s="139">
        <v>54.76</v>
      </c>
      <c r="J21" s="106"/>
      <c r="K21" t="str">
        <f>IF(A21&gt;0,VLOOKUP(A21,טבלאות!$J:$K,2,0),"")</f>
        <v>אשראי מיכה</v>
      </c>
      <c r="L21" s="50" t="str">
        <f>IF(ISERROR(VLOOKUP(B21,טבלאות!$G:$H,2,0)),"",VLOOKUP(B21,טבלאות!$G:$H,2,0))</f>
        <v>מזון ומשקאות</v>
      </c>
      <c r="M21" s="51">
        <f t="shared" si="0"/>
        <v>54.76</v>
      </c>
    </row>
    <row r="22" spans="1:13" hidden="1">
      <c r="A22" s="105" t="s">
        <v>1355</v>
      </c>
      <c r="B22" s="138" t="s">
        <v>1155</v>
      </c>
      <c r="C22" s="142">
        <v>46098</v>
      </c>
      <c r="D22" s="139">
        <v>537.71</v>
      </c>
      <c r="E22" s="138"/>
      <c r="F22" s="138"/>
      <c r="G22" s="138"/>
      <c r="H22" s="138"/>
      <c r="I22" s="139">
        <v>537.71</v>
      </c>
      <c r="J22" s="106"/>
      <c r="K22" t="str">
        <f>IF(A22&gt;0,VLOOKUP(A22,טבלאות!$J:$K,2,0),"")</f>
        <v>אשראי מיכה</v>
      </c>
      <c r="L22" s="50" t="str">
        <f>IF(ISERROR(VLOOKUP(B22,טבלאות!$G:$H,2,0)),"",VLOOKUP(B22,טבלאות!$G:$H,2,0))</f>
        <v>מזון ומשקאות</v>
      </c>
      <c r="M22" s="51">
        <f t="shared" si="0"/>
        <v>537.71</v>
      </c>
    </row>
    <row r="23" spans="1:13" hidden="1">
      <c r="A23" s="105" t="s">
        <v>1355</v>
      </c>
      <c r="B23" s="138" t="s">
        <v>255</v>
      </c>
      <c r="C23" s="142">
        <v>46098</v>
      </c>
      <c r="D23" s="139">
        <v>69</v>
      </c>
      <c r="E23" s="138"/>
      <c r="F23" s="138"/>
      <c r="G23" s="138"/>
      <c r="H23" s="138"/>
      <c r="I23" s="139">
        <v>69</v>
      </c>
      <c r="J23" s="106"/>
      <c r="K23" t="str">
        <f>IF(A23&gt;0,VLOOKUP(A23,טבלאות!$J:$K,2,0),"")</f>
        <v>אשראי מיכה</v>
      </c>
      <c r="L23" s="50" t="str">
        <f>IF(ISERROR(VLOOKUP(B23,טבלאות!$G:$H,2,0)),"",VLOOKUP(B23,טבלאות!$G:$H,2,0))</f>
        <v>מוצרי חשמל ותקשורת</v>
      </c>
      <c r="M23" s="51">
        <f t="shared" si="0"/>
        <v>69</v>
      </c>
    </row>
    <row r="24" spans="1:13" hidden="1">
      <c r="A24" s="105" t="s">
        <v>1355</v>
      </c>
      <c r="B24" s="138" t="s">
        <v>512</v>
      </c>
      <c r="C24" s="142">
        <v>46098</v>
      </c>
      <c r="D24" s="139">
        <v>27.92</v>
      </c>
      <c r="E24" s="138"/>
      <c r="F24" s="138"/>
      <c r="G24" s="138"/>
      <c r="H24" s="138"/>
      <c r="I24" s="139">
        <v>27.92</v>
      </c>
      <c r="J24" s="106"/>
      <c r="K24" t="str">
        <f>IF(A24&gt;0,VLOOKUP(A24,טבלאות!$J:$K,2,0),"")</f>
        <v>אשראי מיכה</v>
      </c>
      <c r="L24" s="50" t="str">
        <f>IF(ISERROR(VLOOKUP(B24,טבלאות!$G:$H,2,0)),"",VLOOKUP(B24,טבלאות!$G:$H,2,0))</f>
        <v>מתנות ומזכרות</v>
      </c>
      <c r="M24" s="51">
        <f t="shared" si="0"/>
        <v>27.92</v>
      </c>
    </row>
    <row r="25" spans="1:13" hidden="1">
      <c r="A25" s="105" t="s">
        <v>1355</v>
      </c>
      <c r="B25" s="138" t="s">
        <v>368</v>
      </c>
      <c r="C25" s="142">
        <v>46098</v>
      </c>
      <c r="D25" s="139">
        <v>64.8</v>
      </c>
      <c r="E25" s="138"/>
      <c r="F25" s="138"/>
      <c r="G25" s="138"/>
      <c r="H25" s="138"/>
      <c r="I25" s="139">
        <v>64.8</v>
      </c>
      <c r="J25" s="106"/>
      <c r="K25" t="str">
        <f>IF(A25&gt;0,VLOOKUP(A25,טבלאות!$J:$K,2,0),"")</f>
        <v>אשראי מיכה</v>
      </c>
      <c r="L25" s="50" t="str">
        <f>IF(ISERROR(VLOOKUP(B25,טבלאות!$G:$H,2,0)),"",VLOOKUP(B25,טבלאות!$G:$H,2,0))</f>
        <v>בית וגן</v>
      </c>
      <c r="M25" s="51">
        <f t="shared" si="0"/>
        <v>64.8</v>
      </c>
    </row>
    <row r="26" spans="1:13" hidden="1">
      <c r="A26" s="105" t="s">
        <v>1355</v>
      </c>
      <c r="B26" s="138" t="s">
        <v>649</v>
      </c>
      <c r="C26" s="142">
        <v>46098</v>
      </c>
      <c r="D26" s="139">
        <v>72</v>
      </c>
      <c r="E26" s="138"/>
      <c r="F26" s="138"/>
      <c r="G26" s="138"/>
      <c r="H26" s="138"/>
      <c r="I26" s="139">
        <v>72</v>
      </c>
      <c r="J26" s="106"/>
      <c r="K26" t="str">
        <f>IF(A26&gt;0,VLOOKUP(A26,טבלאות!$J:$K,2,0),"")</f>
        <v>אשראי מיכה</v>
      </c>
      <c r="L26" s="50" t="str">
        <f>IF(ISERROR(VLOOKUP(B26,טבלאות!$G:$H,2,0)),"",VLOOKUP(B26,טבלאות!$G:$H,2,0))</f>
        <v>מזון ומשקאות</v>
      </c>
      <c r="M26" s="51">
        <f t="shared" si="0"/>
        <v>72</v>
      </c>
    </row>
    <row r="27" spans="1:13" hidden="1">
      <c r="A27" s="105" t="s">
        <v>1355</v>
      </c>
      <c r="B27" s="138" t="s">
        <v>1193</v>
      </c>
      <c r="C27" s="142">
        <v>46095</v>
      </c>
      <c r="D27" s="139">
        <v>17.78</v>
      </c>
      <c r="E27" s="138"/>
      <c r="F27" s="138"/>
      <c r="G27" s="138"/>
      <c r="H27" s="138"/>
      <c r="I27" s="139">
        <v>17.78</v>
      </c>
      <c r="J27" s="105"/>
      <c r="K27" t="str">
        <f>IF(A27&gt;0,VLOOKUP(A27,טבלאות!$J:$K,2,0),"")</f>
        <v>אשראי מיכה</v>
      </c>
      <c r="L27" s="50" t="str">
        <f>IF(ISERROR(VLOOKUP(B27,טבלאות!$G:$H,2,0)),"",VLOOKUP(B27,טבלאות!$G:$H,2,0))</f>
        <v>מזון ומשקאות</v>
      </c>
      <c r="M27" s="51">
        <f t="shared" si="0"/>
        <v>17.78</v>
      </c>
    </row>
    <row r="28" spans="1:13" hidden="1">
      <c r="A28" s="105" t="s">
        <v>1355</v>
      </c>
      <c r="B28" s="138" t="s">
        <v>67</v>
      </c>
      <c r="C28" s="142">
        <v>46094</v>
      </c>
      <c r="D28" s="139">
        <v>95.69</v>
      </c>
      <c r="E28" s="138"/>
      <c r="F28" s="138"/>
      <c r="G28" s="138"/>
      <c r="H28" s="138"/>
      <c r="I28" s="139">
        <v>95.69</v>
      </c>
      <c r="J28" s="106"/>
      <c r="K28" t="str">
        <f>IF(A28&gt;0,VLOOKUP(A28,טבלאות!$J:$K,2,0),"")</f>
        <v>אשראי מיכה</v>
      </c>
      <c r="L28" s="50" t="str">
        <f>IF(ISERROR(VLOOKUP(B28,טבלאות!$G:$H,2,0)),"",VLOOKUP(B28,טבלאות!$G:$H,2,0))</f>
        <v>מזון ומשקאות</v>
      </c>
      <c r="M28" s="51">
        <f t="shared" si="0"/>
        <v>95.69</v>
      </c>
    </row>
    <row r="29" spans="1:13" hidden="1">
      <c r="A29" s="105" t="s">
        <v>1355</v>
      </c>
      <c r="B29" s="138" t="s">
        <v>99</v>
      </c>
      <c r="C29" s="142">
        <v>46094</v>
      </c>
      <c r="D29" s="139">
        <v>241.7</v>
      </c>
      <c r="E29" s="138"/>
      <c r="F29" s="138"/>
      <c r="G29" s="138"/>
      <c r="H29" s="138"/>
      <c r="I29" s="139">
        <v>241.7</v>
      </c>
      <c r="J29" s="106"/>
      <c r="K29" t="str">
        <f>IF(A29&gt;0,VLOOKUP(A29,טבלאות!$J:$K,2,0),"")</f>
        <v>אשראי מיכה</v>
      </c>
      <c r="L29" s="50" t="str">
        <f>IF(ISERROR(VLOOKUP(B29,טבלאות!$G:$H,2,0)),"",VLOOKUP(B29,טבלאות!$G:$H,2,0))</f>
        <v>בריאות</v>
      </c>
      <c r="M29" s="51">
        <f t="shared" si="0"/>
        <v>241.7</v>
      </c>
    </row>
    <row r="30" spans="1:13" hidden="1">
      <c r="A30" s="105" t="s">
        <v>1355</v>
      </c>
      <c r="B30" s="138" t="s">
        <v>1155</v>
      </c>
      <c r="C30" s="142">
        <v>46092</v>
      </c>
      <c r="D30" s="140">
        <v>304.44</v>
      </c>
      <c r="E30" s="138"/>
      <c r="F30" s="138"/>
      <c r="G30" s="138"/>
      <c r="H30" s="138"/>
      <c r="I30" s="139">
        <v>304.44</v>
      </c>
      <c r="J30" s="106"/>
      <c r="K30" t="str">
        <f>IF(A30&gt;0,VLOOKUP(A30,טבלאות!$J:$K,2,0),"")</f>
        <v>אשראי מיכה</v>
      </c>
      <c r="L30" s="50" t="str">
        <f>IF(ISERROR(VLOOKUP(B30,טבלאות!$G:$H,2,0)),"",VLOOKUP(B30,טבלאות!$G:$H,2,0))</f>
        <v>מזון ומשקאות</v>
      </c>
      <c r="M30" s="51">
        <f t="shared" si="0"/>
        <v>304.44</v>
      </c>
    </row>
    <row r="31" spans="1:13" hidden="1">
      <c r="A31" s="105" t="s">
        <v>1355</v>
      </c>
      <c r="B31" s="138" t="s">
        <v>649</v>
      </c>
      <c r="C31" s="142">
        <v>46092</v>
      </c>
      <c r="D31" s="139">
        <v>72</v>
      </c>
      <c r="E31" s="138"/>
      <c r="F31" s="138"/>
      <c r="G31" s="138"/>
      <c r="H31" s="138"/>
      <c r="I31" s="139">
        <v>72</v>
      </c>
      <c r="J31" s="106"/>
      <c r="K31" t="str">
        <f>IF(A31&gt;0,VLOOKUP(A31,טבלאות!$J:$K,2,0),"")</f>
        <v>אשראי מיכה</v>
      </c>
      <c r="L31" s="50" t="str">
        <f>IF(ISERROR(VLOOKUP(B31,טבלאות!$G:$H,2,0)),"",VLOOKUP(B31,טבלאות!$G:$H,2,0))</f>
        <v>מזון ומשקאות</v>
      </c>
      <c r="M31" s="51">
        <f t="shared" si="0"/>
        <v>72</v>
      </c>
    </row>
    <row r="32" spans="1:13" hidden="1">
      <c r="A32" s="105" t="s">
        <v>1355</v>
      </c>
      <c r="B32" s="138" t="s">
        <v>1155</v>
      </c>
      <c r="C32" s="142">
        <v>46089</v>
      </c>
      <c r="D32" s="139">
        <v>404.73</v>
      </c>
      <c r="E32" s="138"/>
      <c r="F32" s="138"/>
      <c r="G32" s="138"/>
      <c r="H32" s="138"/>
      <c r="I32" s="139">
        <v>404.73</v>
      </c>
      <c r="J32" s="106"/>
      <c r="K32" t="str">
        <f>IF(A32&gt;0,VLOOKUP(A32,טבלאות!$J:$K,2,0),"")</f>
        <v>אשראי מיכה</v>
      </c>
      <c r="L32" s="50" t="str">
        <f>IF(ISERROR(VLOOKUP(B32,טבלאות!$G:$H,2,0)),"",VLOOKUP(B32,טבלאות!$G:$H,2,0))</f>
        <v>מזון ומשקאות</v>
      </c>
      <c r="M32" s="51">
        <f t="shared" si="0"/>
        <v>404.73</v>
      </c>
    </row>
    <row r="33" spans="1:13" hidden="1">
      <c r="A33" s="105" t="s">
        <v>1355</v>
      </c>
      <c r="B33" s="138" t="s">
        <v>1216</v>
      </c>
      <c r="C33" s="142">
        <v>46089</v>
      </c>
      <c r="D33" s="139">
        <v>63.15</v>
      </c>
      <c r="E33" s="138"/>
      <c r="F33" s="138"/>
      <c r="G33" s="138"/>
      <c r="H33" s="138"/>
      <c r="I33" s="139">
        <v>63.15</v>
      </c>
      <c r="J33" s="106"/>
      <c r="K33" t="str">
        <f>IF(A33&gt;0,VLOOKUP(A33,טבלאות!$J:$K,2,0),"")</f>
        <v>אשראי מיכה</v>
      </c>
      <c r="L33" s="50" t="str">
        <f>IF(ISERROR(VLOOKUP(B33,טבלאות!$G:$H,2,0)),"",VLOOKUP(B33,טבלאות!$G:$H,2,0))</f>
        <v>מתנות ומזכרות</v>
      </c>
      <c r="M33" s="51">
        <f t="shared" si="0"/>
        <v>63.15</v>
      </c>
    </row>
    <row r="34" spans="1:13" hidden="1">
      <c r="A34" s="105" t="s">
        <v>1355</v>
      </c>
      <c r="B34" s="138" t="s">
        <v>649</v>
      </c>
      <c r="C34" s="142">
        <v>46089</v>
      </c>
      <c r="D34" s="139">
        <v>72</v>
      </c>
      <c r="E34" s="138"/>
      <c r="F34" s="138"/>
      <c r="G34" s="138"/>
      <c r="H34" s="138"/>
      <c r="I34" s="139">
        <v>72</v>
      </c>
      <c r="J34" s="106"/>
      <c r="K34" t="str">
        <f>IF(A34&gt;0,VLOOKUP(A34,טבלאות!$J:$K,2,0),"")</f>
        <v>אשראי מיכה</v>
      </c>
      <c r="L34" s="50" t="str">
        <f>IF(ISERROR(VLOOKUP(B34,טבלאות!$G:$H,2,0)),"",VLOOKUP(B34,טבלאות!$G:$H,2,0))</f>
        <v>מזון ומשקאות</v>
      </c>
      <c r="M34" s="51">
        <f t="shared" si="0"/>
        <v>72</v>
      </c>
    </row>
    <row r="35" spans="1:13" hidden="1">
      <c r="A35" s="105" t="s">
        <v>1355</v>
      </c>
      <c r="B35" s="138" t="s">
        <v>527</v>
      </c>
      <c r="C35" s="142">
        <v>46089</v>
      </c>
      <c r="D35" s="139">
        <v>326.5</v>
      </c>
      <c r="E35" s="138"/>
      <c r="F35" s="138"/>
      <c r="G35" s="138"/>
      <c r="H35" s="138"/>
      <c r="I35" s="139">
        <v>326.5</v>
      </c>
      <c r="J35" s="106"/>
      <c r="K35" t="str">
        <f>IF(A35&gt;0,VLOOKUP(A35,טבלאות!$J:$K,2,0),"")</f>
        <v>אשראי מיכה</v>
      </c>
      <c r="L35" s="50" t="str">
        <f>IF(ISERROR(VLOOKUP(B35,טבלאות!$G:$H,2,0)),"",VLOOKUP(B35,טבלאות!$G:$H,2,0))</f>
        <v>מזון ומשקאות</v>
      </c>
      <c r="M35" s="51">
        <f t="shared" si="0"/>
        <v>326.5</v>
      </c>
    </row>
    <row r="36" spans="1:13" hidden="1">
      <c r="A36" s="105" t="s">
        <v>1355</v>
      </c>
      <c r="B36" s="138" t="s">
        <v>1155</v>
      </c>
      <c r="C36" s="142">
        <v>46086</v>
      </c>
      <c r="D36" s="139">
        <v>517.02</v>
      </c>
      <c r="E36" s="138"/>
      <c r="F36" s="138"/>
      <c r="G36" s="138"/>
      <c r="H36" s="138"/>
      <c r="I36" s="139">
        <v>517.02</v>
      </c>
      <c r="J36" s="106"/>
      <c r="K36" t="str">
        <f>IF(A36&gt;0,VLOOKUP(A36,טבלאות!$J:$K,2,0),"")</f>
        <v>אשראי מיכה</v>
      </c>
      <c r="L36" s="50" t="str">
        <f>IF(ISERROR(VLOOKUP(B36,טבלאות!$G:$H,2,0)),"",VLOOKUP(B36,טבלאות!$G:$H,2,0))</f>
        <v>מזון ומשקאות</v>
      </c>
      <c r="M36" s="51">
        <f t="shared" si="0"/>
        <v>517.02</v>
      </c>
    </row>
    <row r="37" spans="1:13" hidden="1">
      <c r="A37" s="105" t="s">
        <v>1355</v>
      </c>
      <c r="B37" s="138" t="s">
        <v>518</v>
      </c>
      <c r="C37" s="142">
        <v>46086</v>
      </c>
      <c r="D37" s="139">
        <v>9.41</v>
      </c>
      <c r="E37" s="138"/>
      <c r="F37" s="138"/>
      <c r="G37" s="138"/>
      <c r="H37" s="138"/>
      <c r="I37" s="139">
        <v>9.41</v>
      </c>
      <c r="J37" s="106"/>
      <c r="K37" t="str">
        <f>IF(A37&gt;0,VLOOKUP(A37,טבלאות!$J:$K,2,0),"")</f>
        <v>אשראי מיכה</v>
      </c>
      <c r="L37" s="50" t="str">
        <f>IF(ISERROR(VLOOKUP(B37,טבלאות!$G:$H,2,0)),"",VLOOKUP(B37,טבלאות!$G:$H,2,0))</f>
        <v>מזון ומשקאות</v>
      </c>
      <c r="M37" s="51">
        <f t="shared" si="0"/>
        <v>9.41</v>
      </c>
    </row>
    <row r="38" spans="1:13" hidden="1">
      <c r="A38" s="105" t="s">
        <v>1355</v>
      </c>
      <c r="B38" s="138" t="s">
        <v>76</v>
      </c>
      <c r="C38" s="142">
        <v>46086</v>
      </c>
      <c r="D38" s="139">
        <v>110</v>
      </c>
      <c r="E38" s="138"/>
      <c r="F38" s="138"/>
      <c r="G38" s="138"/>
      <c r="H38" s="138"/>
      <c r="I38" s="139">
        <v>110</v>
      </c>
      <c r="J38" s="106"/>
      <c r="K38" t="str">
        <f>IF(A38&gt;0,VLOOKUP(A38,טבלאות!$J:$K,2,0),"")</f>
        <v>אשראי מיכה</v>
      </c>
      <c r="L38" s="50" t="str">
        <f>IF(ISERROR(VLOOKUP(B38,טבלאות!$G:$H,2,0)),"",VLOOKUP(B38,טבלאות!$G:$H,2,0))</f>
        <v>בריאות</v>
      </c>
      <c r="M38" s="51">
        <f t="shared" si="0"/>
        <v>110</v>
      </c>
    </row>
    <row r="39" spans="1:13" hidden="1">
      <c r="A39" s="105" t="s">
        <v>1355</v>
      </c>
      <c r="B39" s="138" t="s">
        <v>1193</v>
      </c>
      <c r="C39" s="142">
        <v>46083</v>
      </c>
      <c r="D39" s="139">
        <v>59.35</v>
      </c>
      <c r="E39" s="138"/>
      <c r="F39" s="138"/>
      <c r="G39" s="138"/>
      <c r="H39" s="138"/>
      <c r="I39" s="139">
        <v>59.35</v>
      </c>
      <c r="J39" s="106"/>
      <c r="K39" t="str">
        <f>IF(A39&gt;0,VLOOKUP(A39,טבלאות!$J:$K,2,0),"")</f>
        <v>אשראי מיכה</v>
      </c>
      <c r="L39" s="50" t="str">
        <f>IF(ISERROR(VLOOKUP(B39,טבלאות!$G:$H,2,0)),"",VLOOKUP(B39,טבלאות!$G:$H,2,0))</f>
        <v>מזון ומשקאות</v>
      </c>
      <c r="M39" s="51">
        <f t="shared" si="0"/>
        <v>59.35</v>
      </c>
    </row>
    <row r="40" spans="1:13" hidden="1">
      <c r="A40" s="105" t="s">
        <v>1355</v>
      </c>
      <c r="B40" s="138" t="s">
        <v>1155</v>
      </c>
      <c r="C40" s="142">
        <v>46083</v>
      </c>
      <c r="D40" s="139">
        <v>213.76</v>
      </c>
      <c r="E40" s="138"/>
      <c r="F40" s="138"/>
      <c r="G40" s="138"/>
      <c r="H40" s="138"/>
      <c r="I40" s="139">
        <v>213.76</v>
      </c>
      <c r="J40" s="106"/>
      <c r="K40" t="str">
        <f>IF(A40&gt;0,VLOOKUP(A40,טבלאות!$J:$K,2,0),"")</f>
        <v>אשראי מיכה</v>
      </c>
      <c r="L40" s="50" t="str">
        <f>IF(ISERROR(VLOOKUP(B40,טבלאות!$G:$H,2,0)),"",VLOOKUP(B40,טבלאות!$G:$H,2,0))</f>
        <v>מזון ומשקאות</v>
      </c>
      <c r="M40" s="51">
        <f t="shared" si="0"/>
        <v>213.76</v>
      </c>
    </row>
    <row r="41" spans="1:13" hidden="1">
      <c r="A41" s="105" t="s">
        <v>1355</v>
      </c>
      <c r="B41" s="138" t="s">
        <v>649</v>
      </c>
      <c r="C41" s="142">
        <v>46083</v>
      </c>
      <c r="D41" s="139">
        <v>72</v>
      </c>
      <c r="E41" s="138"/>
      <c r="F41" s="138"/>
      <c r="G41" s="138"/>
      <c r="H41" s="138"/>
      <c r="I41" s="139">
        <v>72</v>
      </c>
      <c r="J41" s="106"/>
      <c r="K41" t="str">
        <f>IF(A41&gt;0,VLOOKUP(A41,טבלאות!$J:$K,2,0),"")</f>
        <v>אשראי מיכה</v>
      </c>
      <c r="L41" s="50" t="str">
        <f>IF(ISERROR(VLOOKUP(B41,טבלאות!$G:$H,2,0)),"",VLOOKUP(B41,טבלאות!$G:$H,2,0))</f>
        <v>מזון ומשקאות</v>
      </c>
      <c r="M41" s="51">
        <f t="shared" si="0"/>
        <v>72</v>
      </c>
    </row>
    <row r="42" spans="1:13" hidden="1">
      <c r="A42" s="105" t="s">
        <v>1355</v>
      </c>
      <c r="B42" s="138" t="s">
        <v>1526</v>
      </c>
      <c r="C42" s="142">
        <v>46112</v>
      </c>
      <c r="D42" s="141">
        <v>20</v>
      </c>
      <c r="E42" s="138"/>
      <c r="F42" s="138"/>
      <c r="G42" s="138"/>
      <c r="H42" s="138"/>
      <c r="I42" s="139">
        <v>65.2</v>
      </c>
      <c r="J42" s="106"/>
      <c r="K42" t="str">
        <f>IF(A42&gt;0,VLOOKUP(A42,טבלאות!$J:$K,2,0),"")</f>
        <v>אשראי מיכה</v>
      </c>
      <c r="L42" s="50" t="str">
        <f>IF(ISERROR(VLOOKUP(B42,טבלאות!$G:$H,2,0)),"",VLOOKUP(B42,טבלאות!$G:$H,2,0))</f>
        <v>מוצרי חשמל ותקשורת</v>
      </c>
      <c r="M42" s="51">
        <f t="shared" si="0"/>
        <v>65.2</v>
      </c>
    </row>
    <row r="43" spans="1:13" hidden="1">
      <c r="A43" s="69" t="s">
        <v>764</v>
      </c>
      <c r="B43" s="138" t="s">
        <v>1011</v>
      </c>
      <c r="C43" s="142">
        <v>46111</v>
      </c>
      <c r="D43" s="139">
        <v>111</v>
      </c>
      <c r="E43" s="138"/>
      <c r="F43" s="138"/>
      <c r="G43" s="138"/>
      <c r="H43" s="138"/>
      <c r="I43" s="139">
        <v>111</v>
      </c>
      <c r="J43" s="106"/>
      <c r="K43" t="str">
        <f>IF(A43&gt;0,VLOOKUP(A43,טבלאות!$J:$K,2,0),"")</f>
        <v>אשראי אורנה</v>
      </c>
      <c r="L43" s="50" t="str">
        <f>IF(ISERROR(VLOOKUP(B43,טבלאות!$G:$H,2,0)),"",VLOOKUP(B43,טבלאות!$G:$H,2,0))</f>
        <v>מתנות ומזכרות</v>
      </c>
      <c r="M43" s="51">
        <f t="shared" si="0"/>
        <v>111</v>
      </c>
    </row>
    <row r="44" spans="1:13" hidden="1">
      <c r="A44" s="69" t="s">
        <v>764</v>
      </c>
      <c r="B44" s="138" t="s">
        <v>246</v>
      </c>
      <c r="C44" s="142">
        <v>46111</v>
      </c>
      <c r="D44" s="139">
        <v>200</v>
      </c>
      <c r="E44" s="138"/>
      <c r="F44" s="138"/>
      <c r="G44" s="138"/>
      <c r="H44" s="138"/>
      <c r="I44" s="139">
        <v>200</v>
      </c>
      <c r="J44" s="106"/>
      <c r="K44" t="str">
        <f>IF(A44&gt;0,VLOOKUP(A44,טבלאות!$J:$K,2,0),"")</f>
        <v>אשראי אורנה</v>
      </c>
      <c r="L44" s="50" t="str">
        <f>IF(ISERROR(VLOOKUP(B44,טבלאות!$G:$H,2,0)),"",VLOOKUP(B44,טבלאות!$G:$H,2,0))</f>
        <v>חוגים</v>
      </c>
      <c r="M44" s="51">
        <f t="shared" si="0"/>
        <v>200</v>
      </c>
    </row>
    <row r="45" spans="1:13">
      <c r="A45" s="69" t="s">
        <v>764</v>
      </c>
      <c r="B45" s="138" t="s">
        <v>1098</v>
      </c>
      <c r="C45" s="142">
        <v>46107</v>
      </c>
      <c r="D45" s="139">
        <v>56.87</v>
      </c>
      <c r="E45" s="138"/>
      <c r="F45" s="138"/>
      <c r="G45" s="138"/>
      <c r="H45" s="138"/>
      <c r="I45" s="139">
        <v>56.87</v>
      </c>
      <c r="J45" s="106"/>
      <c r="K45" t="str">
        <f>IF(A45&gt;0,VLOOKUP(A45,טבלאות!$J:$K,2,0),"")</f>
        <v>אשראי אורנה</v>
      </c>
      <c r="L45" s="50" t="str">
        <f>IF(ISERROR(VLOOKUP(B45,טבלאות!$G:$H,2,0)),"",VLOOKUP(B45,טבלאות!$G:$H,2,0))</f>
        <v>ביטוח</v>
      </c>
      <c r="M45" s="51">
        <f t="shared" si="0"/>
        <v>56.87</v>
      </c>
    </row>
    <row r="46" spans="1:13">
      <c r="A46" s="69" t="s">
        <v>764</v>
      </c>
      <c r="B46" s="138" t="s">
        <v>1208</v>
      </c>
      <c r="C46" s="142">
        <v>46106</v>
      </c>
      <c r="D46" s="139">
        <v>586.5</v>
      </c>
      <c r="E46" s="138"/>
      <c r="F46" s="138"/>
      <c r="G46" s="138"/>
      <c r="H46" s="138"/>
      <c r="I46" s="139">
        <v>586.5</v>
      </c>
      <c r="J46" s="105"/>
      <c r="K46" t="str">
        <f>IF(A46&gt;0,VLOOKUP(A46,טבלאות!$J:$K,2,0),"")</f>
        <v>אשראי אורנה</v>
      </c>
      <c r="L46" s="50" t="str">
        <f>IF(ISERROR(VLOOKUP(B46,טבלאות!$G:$H,2,0)),"",VLOOKUP(B46,טבלאות!$G:$H,2,0))</f>
        <v>ביטוח</v>
      </c>
      <c r="M46" s="51">
        <f t="shared" si="0"/>
        <v>586.5</v>
      </c>
    </row>
    <row r="47" spans="1:13" hidden="1">
      <c r="A47" s="69" t="s">
        <v>764</v>
      </c>
      <c r="B47" s="138" t="s">
        <v>518</v>
      </c>
      <c r="C47" s="142">
        <v>46106</v>
      </c>
      <c r="D47" s="139">
        <v>142.37</v>
      </c>
      <c r="E47" s="138"/>
      <c r="F47" s="138"/>
      <c r="G47" s="138"/>
      <c r="H47" s="138"/>
      <c r="I47" s="139">
        <v>142.37</v>
      </c>
      <c r="J47" s="105"/>
      <c r="K47" t="str">
        <f>IF(A47&gt;0,VLOOKUP(A47,טבלאות!$J:$K,2,0),"")</f>
        <v>אשראי אורנה</v>
      </c>
      <c r="L47" s="50" t="str">
        <f>IF(ISERROR(VLOOKUP(B47,טבלאות!$G:$H,2,0)),"",VLOOKUP(B47,טבלאות!$G:$H,2,0))</f>
        <v>מזון ומשקאות</v>
      </c>
      <c r="M47" s="51">
        <f t="shared" si="0"/>
        <v>142.37</v>
      </c>
    </row>
    <row r="48" spans="1:13" hidden="1">
      <c r="A48" s="69" t="s">
        <v>764</v>
      </c>
      <c r="B48" s="138" t="s">
        <v>253</v>
      </c>
      <c r="C48" s="142">
        <v>46104</v>
      </c>
      <c r="D48" s="139">
        <v>24.87</v>
      </c>
      <c r="E48" s="138"/>
      <c r="F48" s="138"/>
      <c r="G48" s="138"/>
      <c r="H48" s="138"/>
      <c r="I48" s="139">
        <v>24.87</v>
      </c>
      <c r="J48" s="105"/>
      <c r="K48" t="str">
        <f>IF(A48&gt;0,VLOOKUP(A48,טבלאות!$J:$K,2,0),"")</f>
        <v>אשראי אורנה</v>
      </c>
      <c r="L48" s="50" t="str">
        <f>IF(ISERROR(VLOOKUP(B48,טבלאות!$G:$H,2,0)),"",VLOOKUP(B48,טבלאות!$G:$H,2,0))</f>
        <v>מוצרי חשמל ותקשורת</v>
      </c>
      <c r="M48" s="51">
        <f t="shared" si="0"/>
        <v>24.87</v>
      </c>
    </row>
    <row r="49" spans="1:13" hidden="1">
      <c r="A49" s="69" t="s">
        <v>764</v>
      </c>
      <c r="B49" s="138" t="s">
        <v>741</v>
      </c>
      <c r="C49" s="142">
        <v>46101</v>
      </c>
      <c r="D49" s="139">
        <v>163.46</v>
      </c>
      <c r="E49" s="138"/>
      <c r="F49" s="138"/>
      <c r="G49" s="138"/>
      <c r="H49" s="138"/>
      <c r="I49" s="139">
        <v>163.46</v>
      </c>
      <c r="J49" s="105"/>
      <c r="K49" t="str">
        <f>IF(A49&gt;0,VLOOKUP(A49,טבלאות!$J:$K,2,0),"")</f>
        <v>אשראי אורנה</v>
      </c>
      <c r="L49" s="50" t="str">
        <f>IF(ISERROR(VLOOKUP(B49,טבלאות!$G:$H,2,0)),"",VLOOKUP(B49,טבלאות!$G:$H,2,0))</f>
        <v>מוצרי חשמל ותקשורת</v>
      </c>
      <c r="M49" s="51">
        <f t="shared" si="0"/>
        <v>163.46</v>
      </c>
    </row>
    <row r="50" spans="1:13" hidden="1">
      <c r="A50" s="69" t="s">
        <v>764</v>
      </c>
      <c r="B50" s="138" t="s">
        <v>518</v>
      </c>
      <c r="C50" s="142">
        <v>46100</v>
      </c>
      <c r="D50" s="139">
        <v>68.08</v>
      </c>
      <c r="E50" s="138"/>
      <c r="F50" s="138"/>
      <c r="G50" s="138"/>
      <c r="H50" s="138"/>
      <c r="I50" s="139">
        <v>68.08</v>
      </c>
      <c r="J50" s="105"/>
      <c r="K50" t="str">
        <f>IF(A50&gt;0,VLOOKUP(A50,טבלאות!$J:$K,2,0),"")</f>
        <v>אשראי אורנה</v>
      </c>
      <c r="L50" s="50" t="str">
        <f>IF(ISERROR(VLOOKUP(B50,טבלאות!$G:$H,2,0)),"",VLOOKUP(B50,טבלאות!$G:$H,2,0))</f>
        <v>מזון ומשקאות</v>
      </c>
      <c r="M50" s="51">
        <f t="shared" si="0"/>
        <v>68.08</v>
      </c>
    </row>
    <row r="51" spans="1:13" hidden="1">
      <c r="A51" s="69" t="s">
        <v>764</v>
      </c>
      <c r="B51" s="138" t="s">
        <v>518</v>
      </c>
      <c r="C51" s="142">
        <v>46099</v>
      </c>
      <c r="D51" s="139">
        <v>264.33999999999997</v>
      </c>
      <c r="E51" s="138"/>
      <c r="F51" s="138"/>
      <c r="G51" s="138"/>
      <c r="H51" s="138"/>
      <c r="I51" s="139">
        <v>264.33999999999997</v>
      </c>
      <c r="J51" s="105"/>
      <c r="K51" t="str">
        <f>IF(A51&gt;0,VLOOKUP(A51,טבלאות!$J:$K,2,0),"")</f>
        <v>אשראי אורנה</v>
      </c>
      <c r="L51" s="50" t="str">
        <f>IF(ISERROR(VLOOKUP(B51,טבלאות!$G:$H,2,0)),"",VLOOKUP(B51,טבלאות!$G:$H,2,0))</f>
        <v>מזון ומשקאות</v>
      </c>
      <c r="M51" s="51">
        <f t="shared" si="0"/>
        <v>264.33999999999997</v>
      </c>
    </row>
    <row r="52" spans="1:13" hidden="1">
      <c r="A52" s="69" t="s">
        <v>764</v>
      </c>
      <c r="B52" s="138" t="s">
        <v>924</v>
      </c>
      <c r="C52" s="142">
        <v>46096</v>
      </c>
      <c r="D52" s="139">
        <v>350</v>
      </c>
      <c r="E52" s="138"/>
      <c r="F52" s="138"/>
      <c r="G52" s="138"/>
      <c r="H52" s="138"/>
      <c r="I52" s="139">
        <v>350</v>
      </c>
      <c r="J52" s="105"/>
      <c r="K52" t="str">
        <f>IF(A52&gt;0,VLOOKUP(A52,טבלאות!$J:$K,2,0),"")</f>
        <v>אשראי אורנה</v>
      </c>
      <c r="L52" s="50" t="str">
        <f>IF(ISERROR(VLOOKUP(B52,טבלאות!$G:$H,2,0)),"",VLOOKUP(B52,טבלאות!$G:$H,2,0))</f>
        <v>בית וגן</v>
      </c>
      <c r="M52" s="51">
        <f t="shared" si="0"/>
        <v>350</v>
      </c>
    </row>
    <row r="53" spans="1:13" hidden="1">
      <c r="A53" s="69" t="s">
        <v>764</v>
      </c>
      <c r="B53" s="138" t="s">
        <v>518</v>
      </c>
      <c r="C53" s="142">
        <v>46093</v>
      </c>
      <c r="D53" s="139">
        <v>138.88</v>
      </c>
      <c r="E53" s="138"/>
      <c r="F53" s="138"/>
      <c r="G53" s="138"/>
      <c r="H53" s="138"/>
      <c r="I53" s="139">
        <v>138.88</v>
      </c>
      <c r="J53" s="105"/>
      <c r="K53" t="str">
        <f>IF(A53&gt;0,VLOOKUP(A53,טבלאות!$J:$K,2,0),"")</f>
        <v>אשראי אורנה</v>
      </c>
      <c r="L53" s="50" t="str">
        <f>IF(ISERROR(VLOOKUP(B53,טבלאות!$G:$H,2,0)),"",VLOOKUP(B53,טבלאות!$G:$H,2,0))</f>
        <v>מזון ומשקאות</v>
      </c>
      <c r="M53" s="51">
        <f t="shared" si="0"/>
        <v>138.88</v>
      </c>
    </row>
    <row r="54" spans="1:13" hidden="1">
      <c r="A54" s="69" t="s">
        <v>764</v>
      </c>
      <c r="B54" s="138" t="s">
        <v>518</v>
      </c>
      <c r="C54" s="142">
        <v>46092</v>
      </c>
      <c r="D54" s="139">
        <v>154.83000000000001</v>
      </c>
      <c r="E54" s="138"/>
      <c r="F54" s="138"/>
      <c r="G54" s="138"/>
      <c r="H54" s="138"/>
      <c r="I54" s="139">
        <v>154.83000000000001</v>
      </c>
      <c r="J54" s="105"/>
      <c r="K54" t="str">
        <f>IF(A54&gt;0,VLOOKUP(A54,טבלאות!$J:$K,2,0),"")</f>
        <v>אשראי אורנה</v>
      </c>
      <c r="L54" s="50" t="str">
        <f>IF(ISERROR(VLOOKUP(B54,טבלאות!$G:$H,2,0)),"",VLOOKUP(B54,טבלאות!$G:$H,2,0))</f>
        <v>מזון ומשקאות</v>
      </c>
      <c r="M54" s="51">
        <f t="shared" si="0"/>
        <v>154.83000000000001</v>
      </c>
    </row>
    <row r="55" spans="1:13" hidden="1">
      <c r="A55" s="69" t="s">
        <v>764</v>
      </c>
      <c r="B55" s="138" t="s">
        <v>518</v>
      </c>
      <c r="C55" s="142">
        <v>46087</v>
      </c>
      <c r="D55" s="139">
        <v>51.87</v>
      </c>
      <c r="E55" s="138"/>
      <c r="F55" s="138"/>
      <c r="G55" s="138"/>
      <c r="H55" s="138"/>
      <c r="I55" s="139">
        <v>51.87</v>
      </c>
      <c r="J55" s="105"/>
      <c r="K55" t="str">
        <f>IF(A55&gt;0,VLOOKUP(A55,טבלאות!$J:$K,2,0),"")</f>
        <v>אשראי אורנה</v>
      </c>
      <c r="L55" s="50" t="str">
        <f>IF(ISERROR(VLOOKUP(B55,טבלאות!$G:$H,2,0)),"",VLOOKUP(B55,טבלאות!$G:$H,2,0))</f>
        <v>מזון ומשקאות</v>
      </c>
      <c r="M55" s="51">
        <f t="shared" si="0"/>
        <v>51.87</v>
      </c>
    </row>
    <row r="56" spans="1:13" hidden="1">
      <c r="A56" s="69" t="s">
        <v>764</v>
      </c>
      <c r="B56" s="138" t="s">
        <v>1527</v>
      </c>
      <c r="C56" s="142">
        <v>46086</v>
      </c>
      <c r="D56" s="139">
        <v>65</v>
      </c>
      <c r="E56" s="138"/>
      <c r="F56" s="138"/>
      <c r="G56" s="138"/>
      <c r="H56" s="138"/>
      <c r="I56" s="139">
        <v>65</v>
      </c>
      <c r="J56" s="105"/>
      <c r="K56" t="str">
        <f>IF(A56&gt;0,VLOOKUP(A56,טבלאות!$J:$K,2,0),"")</f>
        <v>אשראי אורנה</v>
      </c>
      <c r="L56" s="50" t="str">
        <f>IF(ISERROR(VLOOKUP(B56,טבלאות!$G:$H,2,0)),"",VLOOKUP(B56,טבלאות!$G:$H,2,0))</f>
        <v>ילדים</v>
      </c>
      <c r="M56" s="51">
        <f t="shared" si="0"/>
        <v>65</v>
      </c>
    </row>
    <row r="57" spans="1:13" hidden="1">
      <c r="A57" s="69" t="s">
        <v>764</v>
      </c>
      <c r="B57" s="138" t="s">
        <v>518</v>
      </c>
      <c r="C57" s="142">
        <v>46084</v>
      </c>
      <c r="D57" s="139">
        <v>229.89</v>
      </c>
      <c r="E57" s="138"/>
      <c r="F57" s="138"/>
      <c r="G57" s="138"/>
      <c r="H57" s="138"/>
      <c r="I57" s="139">
        <v>229.89</v>
      </c>
      <c r="J57" s="105"/>
      <c r="K57" t="str">
        <f>IF(A57&gt;0,VLOOKUP(A57,טבלאות!$J:$K,2,0),"")</f>
        <v>אשראי אורנה</v>
      </c>
      <c r="L57" s="50" t="str">
        <f>IF(ISERROR(VLOOKUP(B57,טבלאות!$G:$H,2,0)),"",VLOOKUP(B57,טבלאות!$G:$H,2,0))</f>
        <v>מזון ומשקאות</v>
      </c>
      <c r="M57" s="51">
        <f t="shared" si="0"/>
        <v>229.89</v>
      </c>
    </row>
    <row r="58" spans="1:13" hidden="1">
      <c r="A58" s="69" t="s">
        <v>764</v>
      </c>
      <c r="B58" s="138" t="s">
        <v>518</v>
      </c>
      <c r="C58" s="142">
        <v>46083</v>
      </c>
      <c r="D58" s="139">
        <v>85</v>
      </c>
      <c r="E58" s="138"/>
      <c r="F58" s="138"/>
      <c r="G58" s="138"/>
      <c r="H58" s="138"/>
      <c r="I58" s="139">
        <v>85</v>
      </c>
      <c r="J58" s="105"/>
      <c r="K58" t="str">
        <f>IF(A58&gt;0,VLOOKUP(A58,טבלאות!$J:$K,2,0),"")</f>
        <v>אשראי אורנה</v>
      </c>
      <c r="L58" s="50" t="str">
        <f>IF(ISERROR(VLOOKUP(B58,טבלאות!$G:$H,2,0)),"",VLOOKUP(B58,טבלאות!$G:$H,2,0))</f>
        <v>מזון ומשקאות</v>
      </c>
      <c r="M58" s="51">
        <f t="shared" si="0"/>
        <v>85</v>
      </c>
    </row>
    <row r="59" spans="1:13" hidden="1">
      <c r="A59" s="69" t="s">
        <v>764</v>
      </c>
      <c r="B59" s="138" t="s">
        <v>516</v>
      </c>
      <c r="C59" s="142">
        <v>46082</v>
      </c>
      <c r="D59" s="139">
        <v>30</v>
      </c>
      <c r="E59" s="138"/>
      <c r="F59" s="138"/>
      <c r="G59" s="138"/>
      <c r="H59" s="138"/>
      <c r="I59" s="139">
        <v>30</v>
      </c>
      <c r="J59" s="105"/>
      <c r="K59" t="str">
        <f>IF(A59&gt;0,VLOOKUP(A59,טבלאות!$J:$K,2,0),"")</f>
        <v>אשראי אורנה</v>
      </c>
      <c r="L59" s="50" t="str">
        <f>IF(ISERROR(VLOOKUP(B59,טבלאות!$G:$H,2,0)),"",VLOOKUP(B59,טבלאות!$G:$H,2,0))</f>
        <v>שונות</v>
      </c>
      <c r="M59" s="51">
        <f t="shared" si="0"/>
        <v>30</v>
      </c>
    </row>
    <row r="60" spans="1:13" hidden="1">
      <c r="A60" s="69" t="s">
        <v>764</v>
      </c>
      <c r="B60" s="138" t="s">
        <v>940</v>
      </c>
      <c r="C60" s="142">
        <v>46082</v>
      </c>
      <c r="D60" s="139">
        <v>400</v>
      </c>
      <c r="E60" s="138"/>
      <c r="F60" s="138"/>
      <c r="G60" s="138"/>
      <c r="H60" s="138"/>
      <c r="I60" s="139">
        <v>400</v>
      </c>
      <c r="J60" s="105"/>
      <c r="K60" t="str">
        <f>IF(A60&gt;0,VLOOKUP(A60,טבלאות!$J:$K,2,0),"")</f>
        <v>אשראי אורנה</v>
      </c>
      <c r="L60" s="50" t="str">
        <f>IF(ISERROR(VLOOKUP(B60,טבלאות!$G:$H,2,0)),"",VLOOKUP(B60,טבלאות!$G:$H,2,0))</f>
        <v>מתנות ומזכרות</v>
      </c>
      <c r="M60" s="51">
        <f t="shared" si="0"/>
        <v>400</v>
      </c>
    </row>
    <row r="61" spans="1:13" hidden="1">
      <c r="A61" s="69" t="s">
        <v>764</v>
      </c>
      <c r="B61" s="138" t="s">
        <v>1381</v>
      </c>
      <c r="C61" s="142">
        <v>46016</v>
      </c>
      <c r="D61" s="139">
        <v>8956</v>
      </c>
      <c r="E61" s="138"/>
      <c r="F61" s="138"/>
      <c r="G61" s="138" t="s">
        <v>1528</v>
      </c>
      <c r="H61" s="138"/>
      <c r="I61" s="139">
        <v>746</v>
      </c>
      <c r="J61" s="105"/>
      <c r="K61" t="str">
        <f>IF(A61&gt;0,VLOOKUP(A61,טבלאות!$J:$K,2,0),"")</f>
        <v>אשראי אורנה</v>
      </c>
      <c r="L61" s="50" t="str">
        <f>IF(ISERROR(VLOOKUP(B61,טבלאות!$G:$H,2,0)),"",VLOOKUP(B61,טבלאות!$G:$H,2,0))</f>
        <v>בית ספר</v>
      </c>
      <c r="M61" s="51">
        <f t="shared" si="0"/>
        <v>746</v>
      </c>
    </row>
    <row r="62" spans="1:13" hidden="1">
      <c r="A62" s="69" t="s">
        <v>764</v>
      </c>
      <c r="B62" s="138" t="s">
        <v>113</v>
      </c>
      <c r="C62" s="142">
        <v>45907</v>
      </c>
      <c r="D62" s="139">
        <v>2430</v>
      </c>
      <c r="E62" s="138"/>
      <c r="F62" s="138"/>
      <c r="G62" s="138" t="s">
        <v>1529</v>
      </c>
      <c r="H62" s="138"/>
      <c r="I62" s="139">
        <v>270</v>
      </c>
      <c r="J62" s="105"/>
      <c r="K62" t="str">
        <f>IF(A62&gt;0,VLOOKUP(A62,טבלאות!$J:$K,2,0),"")</f>
        <v>אשראי אורנה</v>
      </c>
      <c r="L62" s="50" t="str">
        <f>IF(ISERROR(VLOOKUP(B62,טבלאות!$G:$H,2,0)),"",VLOOKUP(B62,טבלאות!$G:$H,2,0))</f>
        <v>חוגים</v>
      </c>
      <c r="M62" s="51">
        <f t="shared" si="0"/>
        <v>270</v>
      </c>
    </row>
    <row r="63" spans="1:13" hidden="1">
      <c r="A63" s="69" t="s">
        <v>764</v>
      </c>
      <c r="B63" s="138" t="s">
        <v>207</v>
      </c>
      <c r="C63" s="142">
        <v>45866</v>
      </c>
      <c r="D63" s="139">
        <v>3650</v>
      </c>
      <c r="E63" s="138"/>
      <c r="F63" s="138"/>
      <c r="G63" s="138" t="s">
        <v>1530</v>
      </c>
      <c r="H63" s="138"/>
      <c r="I63" s="139">
        <v>365</v>
      </c>
      <c r="J63" s="105"/>
      <c r="K63" t="str">
        <f>IF(A63&gt;0,VLOOKUP(A63,טבלאות!$J:$K,2,0),"")</f>
        <v>אשראי אורנה</v>
      </c>
      <c r="L63" s="50" t="str">
        <f>IF(ISERROR(VLOOKUP(B63,טבלאות!$G:$H,2,0)),"",VLOOKUP(B63,טבלאות!$G:$H,2,0))</f>
        <v>חוגים</v>
      </c>
      <c r="M63" s="51">
        <f t="shared" si="0"/>
        <v>365</v>
      </c>
    </row>
    <row r="64" spans="1:13" hidden="1">
      <c r="A64" t="s">
        <v>1346</v>
      </c>
      <c r="B64" s="138" t="s">
        <v>1531</v>
      </c>
      <c r="C64" s="142">
        <v>46076</v>
      </c>
      <c r="D64" s="143">
        <v>3.7</v>
      </c>
      <c r="E64" s="138"/>
      <c r="F64" s="138"/>
      <c r="G64" s="138"/>
      <c r="H64" s="138"/>
      <c r="I64" s="139">
        <v>13.83</v>
      </c>
      <c r="J64" s="105"/>
      <c r="K64" t="str">
        <f>IF(A64&gt;0,VLOOKUP(A64,טבלאות!$J:$K,2,0),"")</f>
        <v>הסתדרות</v>
      </c>
      <c r="L64" s="50" t="str">
        <f>IF(ISERROR(VLOOKUP(B64,טבלאות!$G:$H,2,0)),"",VLOOKUP(B64,טבלאות!$G:$H,2,0))</f>
        <v>נופש</v>
      </c>
      <c r="M64" s="51">
        <f t="shared" si="0"/>
        <v>13.83</v>
      </c>
    </row>
    <row r="65" spans="1:13" hidden="1">
      <c r="A65" t="s">
        <v>1346</v>
      </c>
      <c r="B65" s="138" t="s">
        <v>1531</v>
      </c>
      <c r="C65" s="142">
        <v>46076</v>
      </c>
      <c r="D65" s="143">
        <v>35</v>
      </c>
      <c r="E65" s="138"/>
      <c r="F65" s="138"/>
      <c r="G65" s="138"/>
      <c r="H65" s="138"/>
      <c r="I65" s="139">
        <v>130.85</v>
      </c>
      <c r="J65" s="105"/>
      <c r="K65" t="str">
        <f>IF(A65&gt;0,VLOOKUP(A65,טבלאות!$J:$K,2,0),"")</f>
        <v>הסתדרות</v>
      </c>
      <c r="L65" s="50" t="str">
        <f>IF(ISERROR(VLOOKUP(B65,טבלאות!$G:$H,2,0)),"",VLOOKUP(B65,טבלאות!$G:$H,2,0))</f>
        <v>נופש</v>
      </c>
      <c r="M65" s="51">
        <f t="shared" si="0"/>
        <v>130.85</v>
      </c>
    </row>
    <row r="66" spans="1:13" hidden="1">
      <c r="A66" t="s">
        <v>1346</v>
      </c>
      <c r="B66" s="138" t="s">
        <v>1532</v>
      </c>
      <c r="C66" s="142">
        <v>46074</v>
      </c>
      <c r="D66" s="143">
        <v>22.7</v>
      </c>
      <c r="E66" s="138"/>
      <c r="F66" s="138"/>
      <c r="G66" s="138"/>
      <c r="H66" s="138"/>
      <c r="I66" s="139">
        <v>84.99</v>
      </c>
      <c r="J66" s="105"/>
      <c r="K66" t="str">
        <f>IF(A66&gt;0,VLOOKUP(A66,טבלאות!$J:$K,2,0),"")</f>
        <v>הסתדרות</v>
      </c>
      <c r="L66" s="50" t="str">
        <f>IF(ISERROR(VLOOKUP(B66,טבלאות!$G:$H,2,0)),"",VLOOKUP(B66,טבלאות!$G:$H,2,0))</f>
        <v>נופש</v>
      </c>
      <c r="M66" s="51">
        <f t="shared" ref="M66:M113" si="1">IF(OR(L66="",L66="?"),"",IF(L66&gt;0,I66,""))</f>
        <v>84.99</v>
      </c>
    </row>
    <row r="67" spans="1:13" hidden="1">
      <c r="A67" t="s">
        <v>1346</v>
      </c>
      <c r="B67" s="138" t="s">
        <v>1533</v>
      </c>
      <c r="C67" s="142">
        <v>46074</v>
      </c>
      <c r="D67" s="143">
        <v>32.21</v>
      </c>
      <c r="E67" s="138"/>
      <c r="F67" s="138"/>
      <c r="G67" s="138"/>
      <c r="H67" s="138"/>
      <c r="I67" s="139">
        <v>120.59</v>
      </c>
      <c r="J67" s="105"/>
      <c r="K67" t="str">
        <f>IF(A67&gt;0,VLOOKUP(A67,טבלאות!$J:$K,2,0),"")</f>
        <v>הסתדרות</v>
      </c>
      <c r="L67" s="50" t="str">
        <f>IF(ISERROR(VLOOKUP(B67,טבלאות!$G:$H,2,0)),"",VLOOKUP(B67,טבלאות!$G:$H,2,0))</f>
        <v>נופש</v>
      </c>
      <c r="M67" s="51">
        <f t="shared" si="1"/>
        <v>120.59</v>
      </c>
    </row>
    <row r="68" spans="1:13" hidden="1">
      <c r="A68" t="s">
        <v>1346</v>
      </c>
      <c r="B68" s="138" t="s">
        <v>1534</v>
      </c>
      <c r="C68" s="142">
        <v>46073</v>
      </c>
      <c r="D68" s="143">
        <v>25</v>
      </c>
      <c r="E68" s="138"/>
      <c r="F68" s="138"/>
      <c r="G68" s="138"/>
      <c r="H68" s="138"/>
      <c r="I68" s="139">
        <v>93.6</v>
      </c>
      <c r="J68" s="105"/>
      <c r="K68" t="str">
        <f>IF(A68&gt;0,VLOOKUP(A68,טבלאות!$J:$K,2,0),"")</f>
        <v>הסתדרות</v>
      </c>
      <c r="L68" s="50" t="str">
        <f>IF(ISERROR(VLOOKUP(B68,טבלאות!$G:$H,2,0)),"",VLOOKUP(B68,טבלאות!$G:$H,2,0))</f>
        <v>נופש</v>
      </c>
      <c r="M68" s="51">
        <f t="shared" si="1"/>
        <v>93.6</v>
      </c>
    </row>
    <row r="69" spans="1:13" hidden="1">
      <c r="A69" t="s">
        <v>1346</v>
      </c>
      <c r="B69" s="138" t="s">
        <v>1535</v>
      </c>
      <c r="C69" s="142">
        <v>46073</v>
      </c>
      <c r="D69" s="143">
        <v>3.5</v>
      </c>
      <c r="E69" s="138"/>
      <c r="F69" s="138"/>
      <c r="G69" s="138"/>
      <c r="H69" s="138"/>
      <c r="I69" s="139">
        <v>13.1</v>
      </c>
      <c r="J69" s="105"/>
      <c r="K69" t="str">
        <f>IF(A69&gt;0,VLOOKUP(A69,טבלאות!$J:$K,2,0),"")</f>
        <v>הסתדרות</v>
      </c>
      <c r="L69" s="50" t="str">
        <f>IF(ISERROR(VLOOKUP(B69,טבלאות!$G:$H,2,0)),"",VLOOKUP(B69,טבלאות!$G:$H,2,0))</f>
        <v>נופש</v>
      </c>
      <c r="M69" s="51">
        <f t="shared" si="1"/>
        <v>13.1</v>
      </c>
    </row>
    <row r="70" spans="1:13" hidden="1">
      <c r="A70" t="s">
        <v>1346</v>
      </c>
      <c r="B70" s="138" t="s">
        <v>1535</v>
      </c>
      <c r="C70" s="142">
        <v>46073</v>
      </c>
      <c r="D70" s="143">
        <v>3.5</v>
      </c>
      <c r="E70" s="138"/>
      <c r="F70" s="138"/>
      <c r="G70" s="138"/>
      <c r="H70" s="138"/>
      <c r="I70" s="139">
        <v>13.1</v>
      </c>
      <c r="J70" s="105"/>
      <c r="K70" t="str">
        <f>IF(A70&gt;0,VLOOKUP(A70,טבלאות!$J:$K,2,0),"")</f>
        <v>הסתדרות</v>
      </c>
      <c r="L70" s="50" t="str">
        <f>IF(ISERROR(VLOOKUP(B70,טבלאות!$G:$H,2,0)),"",VLOOKUP(B70,טבלאות!$G:$H,2,0))</f>
        <v>נופש</v>
      </c>
      <c r="M70" s="51">
        <f t="shared" si="1"/>
        <v>13.1</v>
      </c>
    </row>
    <row r="71" spans="1:13" hidden="1">
      <c r="A71" t="s">
        <v>1346</v>
      </c>
      <c r="B71" s="138" t="s">
        <v>1536</v>
      </c>
      <c r="C71" s="142">
        <v>46072</v>
      </c>
      <c r="D71" s="143">
        <v>10</v>
      </c>
      <c r="E71" s="138"/>
      <c r="F71" s="138"/>
      <c r="G71" s="138"/>
      <c r="H71" s="138"/>
      <c r="I71" s="139">
        <v>37.44</v>
      </c>
      <c r="J71" s="105"/>
      <c r="K71" t="str">
        <f>IF(A71&gt;0,VLOOKUP(A71,טבלאות!$J:$K,2,0),"")</f>
        <v>הסתדרות</v>
      </c>
      <c r="L71" s="50" t="str">
        <f>IF(ISERROR(VLOOKUP(B71,טבלאות!$G:$H,2,0)),"",VLOOKUP(B71,טבלאות!$G:$H,2,0))</f>
        <v>נופש</v>
      </c>
      <c r="M71" s="51">
        <f t="shared" si="1"/>
        <v>37.44</v>
      </c>
    </row>
    <row r="72" spans="1:13" hidden="1">
      <c r="A72" t="s">
        <v>1346</v>
      </c>
      <c r="B72" s="138" t="s">
        <v>1537</v>
      </c>
      <c r="C72" s="142">
        <v>46071</v>
      </c>
      <c r="D72" s="143">
        <v>51.9</v>
      </c>
      <c r="E72" s="138"/>
      <c r="F72" s="138"/>
      <c r="G72" s="138"/>
      <c r="H72" s="138"/>
      <c r="I72" s="139">
        <v>195.26</v>
      </c>
      <c r="J72" s="105"/>
      <c r="K72" t="str">
        <f>IF(A72&gt;0,VLOOKUP(A72,טבלאות!$J:$K,2,0),"")</f>
        <v>הסתדרות</v>
      </c>
      <c r="L72" s="50" t="str">
        <f>IF(ISERROR(VLOOKUP(B72,טבלאות!$G:$H,2,0)),"",VLOOKUP(B72,טבלאות!$G:$H,2,0))</f>
        <v>נופש</v>
      </c>
      <c r="M72" s="51">
        <f t="shared" si="1"/>
        <v>195.26</v>
      </c>
    </row>
    <row r="73" spans="1:13" hidden="1">
      <c r="A73" t="s">
        <v>1346</v>
      </c>
      <c r="B73" s="138" t="s">
        <v>1537</v>
      </c>
      <c r="C73" s="142">
        <v>46071</v>
      </c>
      <c r="D73" s="143">
        <v>56.9</v>
      </c>
      <c r="E73" s="138"/>
      <c r="F73" s="138"/>
      <c r="G73" s="138"/>
      <c r="H73" s="138"/>
      <c r="I73" s="139">
        <v>214.07</v>
      </c>
      <c r="J73" s="106"/>
      <c r="K73" t="str">
        <f>IF(A73&gt;0,VLOOKUP(A73,טבלאות!$J:$K,2,0),"")</f>
        <v>הסתדרות</v>
      </c>
      <c r="L73" s="50" t="str">
        <f>IF(ISERROR(VLOOKUP(B73,טבלאות!$G:$H,2,0)),"",VLOOKUP(B73,טבלאות!$G:$H,2,0))</f>
        <v>נופש</v>
      </c>
      <c r="M73" s="51">
        <f t="shared" si="1"/>
        <v>214.07</v>
      </c>
    </row>
    <row r="74" spans="1:13" hidden="1">
      <c r="A74" t="s">
        <v>1346</v>
      </c>
      <c r="B74" s="138" t="s">
        <v>1538</v>
      </c>
      <c r="C74" s="142">
        <v>46071</v>
      </c>
      <c r="D74" s="143">
        <v>12.75</v>
      </c>
      <c r="E74" s="138"/>
      <c r="F74" s="138"/>
      <c r="G74" s="138"/>
      <c r="H74" s="138"/>
      <c r="I74" s="139">
        <v>47.97</v>
      </c>
      <c r="J74" s="106"/>
      <c r="K74" t="str">
        <f>IF(A74&gt;0,VLOOKUP(A74,טבלאות!$J:$K,2,0),"")</f>
        <v>הסתדרות</v>
      </c>
      <c r="L74" s="50" t="str">
        <f>IF(ISERROR(VLOOKUP(B74,טבלאות!$G:$H,2,0)),"",VLOOKUP(B74,טבלאות!$G:$H,2,0))</f>
        <v>נופש</v>
      </c>
      <c r="M74" s="51">
        <f t="shared" si="1"/>
        <v>47.97</v>
      </c>
    </row>
    <row r="75" spans="1:13" hidden="1">
      <c r="A75">
        <v>9973</v>
      </c>
      <c r="B75" s="138" t="s">
        <v>1473</v>
      </c>
      <c r="C75" s="142">
        <v>46110</v>
      </c>
      <c r="D75" s="139">
        <v>-49</v>
      </c>
      <c r="E75" s="138"/>
      <c r="F75" s="138"/>
      <c r="G75" s="138"/>
      <c r="H75" s="138"/>
      <c r="I75" s="139">
        <v>-49</v>
      </c>
      <c r="J75" s="106"/>
      <c r="K75" t="str">
        <f>IF(A75&gt;0,VLOOKUP(A75,טבלאות!$J:$K,2,0),"")</f>
        <v>ישראכרט אורנה</v>
      </c>
      <c r="L75" s="50" t="str">
        <f>IF(ISERROR(VLOOKUP(B75,טבלאות!$G:$H,2,0)),"",VLOOKUP(B75,טבלאות!$G:$H,2,0))</f>
        <v>בילוי ומסעדות</v>
      </c>
      <c r="M75" s="51">
        <f t="shared" si="1"/>
        <v>-49</v>
      </c>
    </row>
    <row r="76" spans="1:13" hidden="1">
      <c r="A76">
        <v>9973</v>
      </c>
      <c r="B76" s="138" t="s">
        <v>1473</v>
      </c>
      <c r="C76" s="142">
        <v>46107</v>
      </c>
      <c r="D76" s="139">
        <v>98</v>
      </c>
      <c r="E76" s="138"/>
      <c r="F76" s="138"/>
      <c r="G76" s="138"/>
      <c r="H76" s="138"/>
      <c r="I76" s="139">
        <v>98</v>
      </c>
      <c r="J76" s="106"/>
      <c r="K76" t="str">
        <f>IF(A76&gt;0,VLOOKUP(A76,טבלאות!$J:$K,2,0),"")</f>
        <v>ישראכרט אורנה</v>
      </c>
      <c r="L76" s="50" t="str">
        <f>IF(ISERROR(VLOOKUP(B76,טבלאות!$G:$H,2,0)),"",VLOOKUP(B76,טבלאות!$G:$H,2,0))</f>
        <v>בילוי ומסעדות</v>
      </c>
      <c r="M76" s="51">
        <f t="shared" si="1"/>
        <v>98</v>
      </c>
    </row>
    <row r="77" spans="1:13" hidden="1">
      <c r="A77">
        <v>9973</v>
      </c>
      <c r="B77" s="138" t="s">
        <v>1237</v>
      </c>
      <c r="C77" s="142">
        <v>46103</v>
      </c>
      <c r="D77" s="139">
        <v>17.899999999999999</v>
      </c>
      <c r="E77" s="138"/>
      <c r="F77" s="138"/>
      <c r="G77" s="138"/>
      <c r="H77" s="138"/>
      <c r="I77" s="139">
        <v>0</v>
      </c>
      <c r="J77" s="106"/>
      <c r="K77" t="str">
        <f>IF(A77&gt;0,VLOOKUP(A77,טבלאות!$J:$K,2,0),"")</f>
        <v>ישראכרט אורנה</v>
      </c>
      <c r="L77" s="50" t="str">
        <f>IF(ISERROR(VLOOKUP(B77,טבלאות!$G:$H,2,0)),"",VLOOKUP(B77,טבלאות!$G:$H,2,0))</f>
        <v>שירותי בנקאות</v>
      </c>
      <c r="M77" s="51">
        <f t="shared" si="1"/>
        <v>0</v>
      </c>
    </row>
    <row r="78" spans="1:13">
      <c r="A78">
        <v>9973</v>
      </c>
      <c r="B78" s="138" t="s">
        <v>1205</v>
      </c>
      <c r="C78" s="142">
        <v>46092</v>
      </c>
      <c r="D78" s="139">
        <v>138.54</v>
      </c>
      <c r="E78" s="138"/>
      <c r="F78" s="138"/>
      <c r="G78" s="138"/>
      <c r="H78" s="138"/>
      <c r="I78" s="139">
        <v>138.54</v>
      </c>
      <c r="J78" s="106"/>
      <c r="K78" t="str">
        <f>IF(A78&gt;0,VLOOKUP(A78,טבלאות!$J:$K,2,0),"")</f>
        <v>ישראכרט אורנה</v>
      </c>
      <c r="L78" s="50" t="str">
        <f>IF(ISERROR(VLOOKUP(B78,טבלאות!$G:$H,2,0)),"",VLOOKUP(B78,טבלאות!$G:$H,2,0))</f>
        <v>ביטוח</v>
      </c>
      <c r="M78" s="51">
        <f t="shared" si="1"/>
        <v>138.54</v>
      </c>
    </row>
    <row r="79" spans="1:13">
      <c r="A79">
        <v>9973</v>
      </c>
      <c r="B79" s="138" t="s">
        <v>1205</v>
      </c>
      <c r="C79" s="142">
        <v>46092</v>
      </c>
      <c r="D79" s="139">
        <v>141.85</v>
      </c>
      <c r="E79" s="138"/>
      <c r="F79" s="138"/>
      <c r="G79" s="138"/>
      <c r="H79" s="138"/>
      <c r="I79" s="139">
        <v>141.85</v>
      </c>
      <c r="J79" s="106"/>
      <c r="K79" t="str">
        <f>IF(A79&gt;0,VLOOKUP(A79,טבלאות!$J:$K,2,0),"")</f>
        <v>ישראכרט אורנה</v>
      </c>
      <c r="L79" s="50" t="str">
        <f>IF(ISERROR(VLOOKUP(B79,טבלאות!$G:$H,2,0)),"",VLOOKUP(B79,טבלאות!$G:$H,2,0))</f>
        <v>ביטוח</v>
      </c>
      <c r="M79" s="51">
        <f t="shared" si="1"/>
        <v>141.85</v>
      </c>
    </row>
    <row r="80" spans="1:13">
      <c r="A80">
        <v>9973</v>
      </c>
      <c r="B80" s="138" t="s">
        <v>1205</v>
      </c>
      <c r="C80" s="142">
        <v>46092</v>
      </c>
      <c r="D80" s="139">
        <v>106.82</v>
      </c>
      <c r="E80" s="138"/>
      <c r="F80" s="138"/>
      <c r="G80" s="138"/>
      <c r="H80" s="138"/>
      <c r="I80" s="139">
        <v>106.82</v>
      </c>
      <c r="J80" s="106"/>
      <c r="K80" t="str">
        <f>IF(A80&gt;0,VLOOKUP(A80,טבלאות!$J:$K,2,0),"")</f>
        <v>ישראכרט אורנה</v>
      </c>
      <c r="L80" s="50" t="str">
        <f>IF(ISERROR(VLOOKUP(B80,טבלאות!$G:$H,2,0)),"",VLOOKUP(B80,טבלאות!$G:$H,2,0))</f>
        <v>ביטוח</v>
      </c>
      <c r="M80" s="51">
        <f t="shared" si="1"/>
        <v>106.82</v>
      </c>
    </row>
    <row r="81" spans="1:13">
      <c r="A81">
        <v>9973</v>
      </c>
      <c r="B81" s="138" t="s">
        <v>1205</v>
      </c>
      <c r="C81" s="142">
        <v>46092</v>
      </c>
      <c r="D81" s="139">
        <v>52.92</v>
      </c>
      <c r="E81" s="138"/>
      <c r="F81" s="138"/>
      <c r="G81" s="138"/>
      <c r="H81" s="138"/>
      <c r="I81" s="139">
        <v>52.92</v>
      </c>
      <c r="K81" t="str">
        <f>IF(A81&gt;0,VLOOKUP(A81,טבלאות!$J:$K,2,0),"")</f>
        <v>ישראכרט אורנה</v>
      </c>
      <c r="L81" s="50" t="str">
        <f>IF(ISERROR(VLOOKUP(B81,טבלאות!$G:$H,2,0)),"",VLOOKUP(B81,טבלאות!$G:$H,2,0))</f>
        <v>ביטוח</v>
      </c>
      <c r="M81" s="51">
        <f t="shared" si="1"/>
        <v>52.92</v>
      </c>
    </row>
    <row r="82" spans="1:13">
      <c r="A82">
        <v>9973</v>
      </c>
      <c r="B82" s="138" t="s">
        <v>1205</v>
      </c>
      <c r="C82" s="142">
        <v>46092</v>
      </c>
      <c r="D82" s="139">
        <v>52.92</v>
      </c>
      <c r="E82" s="138"/>
      <c r="F82" s="138"/>
      <c r="G82" s="138"/>
      <c r="H82" s="138"/>
      <c r="I82" s="139">
        <v>52.92</v>
      </c>
      <c r="K82" t="str">
        <f>IF(A82&gt;0,VLOOKUP(A82,טבלאות!$J:$K,2,0),"")</f>
        <v>ישראכרט אורנה</v>
      </c>
      <c r="L82" s="50" t="str">
        <f>IF(ISERROR(VLOOKUP(B82,טבלאות!$G:$H,2,0)),"",VLOOKUP(B82,טבלאות!$G:$H,2,0))</f>
        <v>ביטוח</v>
      </c>
      <c r="M82" s="51">
        <f t="shared" si="1"/>
        <v>52.92</v>
      </c>
    </row>
    <row r="83" spans="1:13" hidden="1">
      <c r="A83" t="s">
        <v>626</v>
      </c>
      <c r="B83" s="138" t="s">
        <v>518</v>
      </c>
      <c r="C83" s="142">
        <v>46103</v>
      </c>
      <c r="D83" s="139">
        <v>22</v>
      </c>
      <c r="E83" s="138"/>
      <c r="F83" s="138"/>
      <c r="G83" s="138"/>
      <c r="H83" s="138"/>
      <c r="I83" s="139">
        <v>22</v>
      </c>
      <c r="K83" t="str">
        <f>IF(A83&gt;0,VLOOKUP(A83,טבלאות!$J:$K,2,0),"")</f>
        <v>שופרסל</v>
      </c>
      <c r="L83" s="50" t="str">
        <f>IF(ISERROR(VLOOKUP(B83,טבלאות!$G:$H,2,0)),"",VLOOKUP(B83,טבלאות!$G:$H,2,0))</f>
        <v>מזון ומשקאות</v>
      </c>
      <c r="M83" s="51">
        <f t="shared" si="1"/>
        <v>22</v>
      </c>
    </row>
    <row r="84" spans="1:13" hidden="1">
      <c r="A84" t="s">
        <v>626</v>
      </c>
      <c r="B84" s="138" t="s">
        <v>1155</v>
      </c>
      <c r="C84" s="142">
        <v>46089</v>
      </c>
      <c r="D84" s="139">
        <v>43.7</v>
      </c>
      <c r="E84" s="138"/>
      <c r="F84" s="138"/>
      <c r="G84" s="138"/>
      <c r="H84" s="138"/>
      <c r="I84" s="139">
        <v>43.7</v>
      </c>
      <c r="K84" t="str">
        <f>IF(A84&gt;0,VLOOKUP(A84,טבלאות!$J:$K,2,0),"")</f>
        <v>שופרסל</v>
      </c>
      <c r="L84" s="50" t="str">
        <f>IF(ISERROR(VLOOKUP(B84,טבלאות!$G:$H,2,0)),"",VLOOKUP(B84,טבלאות!$G:$H,2,0))</f>
        <v>מזון ומשקאות</v>
      </c>
      <c r="M84" s="51">
        <f t="shared" si="1"/>
        <v>43.7</v>
      </c>
    </row>
    <row r="85" spans="1:13" hidden="1">
      <c r="A85" t="s">
        <v>626</v>
      </c>
      <c r="B85" s="138" t="s">
        <v>109</v>
      </c>
      <c r="C85" s="142">
        <v>46085</v>
      </c>
      <c r="D85" s="139">
        <v>12.9</v>
      </c>
      <c r="E85" s="138"/>
      <c r="F85" s="138"/>
      <c r="G85" s="138"/>
      <c r="H85" s="138"/>
      <c r="I85" s="139"/>
      <c r="K85" t="str">
        <f>IF(A85&gt;0,VLOOKUP(A85,טבלאות!$J:$K,2,0),"")</f>
        <v>שופרסל</v>
      </c>
      <c r="L85" s="50" t="str">
        <f>IF(ISERROR(VLOOKUP(B85,טבלאות!$G:$H,2,0)),"",VLOOKUP(B85,טבלאות!$G:$H,2,0))</f>
        <v>שירותי בנקאות</v>
      </c>
      <c r="M85" s="51">
        <f t="shared" si="1"/>
        <v>0</v>
      </c>
    </row>
    <row r="86" spans="1:13" hidden="1">
      <c r="A86" s="108"/>
      <c r="B86" s="108"/>
      <c r="C86" s="108"/>
      <c r="D86" s="109"/>
      <c r="E86" s="108"/>
      <c r="F86" s="108"/>
      <c r="G86" s="108"/>
      <c r="H86" s="108"/>
      <c r="I86" s="109"/>
      <c r="J86" s="106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 t="shared" si="1"/>
        <v/>
      </c>
    </row>
    <row r="87" spans="1:13" hidden="1">
      <c r="A87" s="108"/>
      <c r="B87" s="108"/>
      <c r="C87" s="108"/>
      <c r="D87" s="109"/>
      <c r="E87" s="108"/>
      <c r="F87" s="108"/>
      <c r="G87" s="108"/>
      <c r="H87" s="108"/>
      <c r="I87" s="109"/>
      <c r="J87" s="106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1"/>
        <v/>
      </c>
    </row>
    <row r="88" spans="1:13" hidden="1">
      <c r="A88" s="108"/>
      <c r="B88" s="108"/>
      <c r="C88" s="108"/>
      <c r="D88" s="109"/>
      <c r="E88" s="108"/>
      <c r="F88" s="108"/>
      <c r="G88" s="108"/>
      <c r="H88" s="108"/>
      <c r="I88" s="109"/>
      <c r="J88" s="106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1"/>
        <v/>
      </c>
    </row>
    <row r="89" spans="1:13" hidden="1">
      <c r="A89" s="108"/>
      <c r="B89" s="108"/>
      <c r="C89" s="108"/>
      <c r="D89" s="109"/>
      <c r="E89" s="108"/>
      <c r="F89" s="108"/>
      <c r="G89" s="108"/>
      <c r="H89" s="108"/>
      <c r="I89" s="109"/>
      <c r="J89" s="106"/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1"/>
        <v/>
      </c>
    </row>
    <row r="90" spans="1:13" hidden="1">
      <c r="A90" s="108"/>
      <c r="B90" s="108"/>
      <c r="C90" s="111"/>
      <c r="D90" s="109"/>
      <c r="E90" s="108"/>
      <c r="F90" s="108"/>
      <c r="G90" s="108"/>
      <c r="H90" s="108"/>
      <c r="I90" s="109"/>
      <c r="J90" s="106"/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1"/>
        <v/>
      </c>
    </row>
    <row r="91" spans="1:13" hidden="1">
      <c r="A91" s="108"/>
      <c r="B91" s="108"/>
      <c r="C91" s="111"/>
      <c r="D91" s="109"/>
      <c r="E91" s="108"/>
      <c r="F91" s="108"/>
      <c r="G91" s="108"/>
      <c r="H91" s="108"/>
      <c r="I91" s="109"/>
      <c r="J91" s="106"/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1"/>
        <v/>
      </c>
    </row>
    <row r="92" spans="1:13" hidden="1">
      <c r="B92" s="105"/>
      <c r="C92" s="111"/>
      <c r="D92" s="109"/>
      <c r="E92" s="108"/>
      <c r="F92" s="108"/>
      <c r="G92" s="108"/>
      <c r="H92" s="108"/>
      <c r="I92" s="109"/>
      <c r="J92" s="106"/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1"/>
        <v/>
      </c>
    </row>
    <row r="93" spans="1:13" hidden="1">
      <c r="B93" s="105"/>
      <c r="C93" s="111"/>
      <c r="D93" s="109"/>
      <c r="E93" s="108"/>
      <c r="F93" s="108"/>
      <c r="G93" s="108"/>
      <c r="H93" s="108"/>
      <c r="I93" s="109"/>
      <c r="J93" s="106"/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1"/>
        <v/>
      </c>
    </row>
    <row r="94" spans="1:13" hidden="1">
      <c r="B94" s="105"/>
      <c r="C94" s="111"/>
      <c r="D94" s="109"/>
      <c r="E94" s="108"/>
      <c r="F94" s="108"/>
      <c r="G94" s="105"/>
      <c r="H94" s="108"/>
      <c r="I94" s="109"/>
      <c r="J94" s="106"/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1"/>
        <v/>
      </c>
    </row>
    <row r="95" spans="1:13" hidden="1">
      <c r="B95" s="108"/>
      <c r="C95" s="111"/>
      <c r="D95" s="109"/>
      <c r="E95" s="108"/>
      <c r="F95" s="108"/>
      <c r="G95" s="108"/>
      <c r="H95" s="108"/>
      <c r="I95" s="109"/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1"/>
        <v/>
      </c>
    </row>
    <row r="96" spans="1:13" hidden="1">
      <c r="B96" s="108"/>
      <c r="C96" s="111"/>
      <c r="D96" s="109"/>
      <c r="E96" s="108"/>
      <c r="F96" s="108"/>
      <c r="G96" s="108"/>
      <c r="H96" s="108"/>
      <c r="I96" s="109"/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1"/>
        <v/>
      </c>
    </row>
    <row r="97" spans="2:13" hidden="1">
      <c r="B97" s="108"/>
      <c r="C97" s="111"/>
      <c r="D97" s="109"/>
      <c r="E97" s="108"/>
      <c r="F97" s="108"/>
      <c r="G97" s="108"/>
      <c r="H97" s="108"/>
      <c r="I97" s="109"/>
      <c r="L97" s="50" t="str">
        <f>IF(ISERROR(VLOOKUP(B97,טבלאות!$G:$H,2,0)),"",VLOOKUP(B97,טבלאות!$G:$H,2,0))</f>
        <v/>
      </c>
      <c r="M97" s="51" t="str">
        <f t="shared" si="1"/>
        <v/>
      </c>
    </row>
    <row r="98" spans="2:13" hidden="1">
      <c r="B98" s="108"/>
      <c r="C98" s="111"/>
      <c r="D98" s="109"/>
      <c r="E98" s="108"/>
      <c r="F98" s="108"/>
      <c r="G98" s="108"/>
      <c r="H98" s="108"/>
      <c r="I98" s="109"/>
      <c r="L98" s="50" t="str">
        <f>IF(ISERROR(VLOOKUP(B98,טבלאות!$G:$H,2,0)),"",VLOOKUP(B98,טבלאות!$G:$H,2,0))</f>
        <v/>
      </c>
      <c r="M98" s="51" t="str">
        <f t="shared" si="1"/>
        <v/>
      </c>
    </row>
    <row r="99" spans="2:13" hidden="1">
      <c r="B99" s="108"/>
      <c r="C99" s="111"/>
      <c r="D99" s="109"/>
      <c r="E99" s="108"/>
      <c r="F99" s="108"/>
      <c r="G99" s="108"/>
      <c r="H99" s="108"/>
      <c r="I99" s="109"/>
      <c r="L99" s="50" t="str">
        <f>IF(ISERROR(VLOOKUP(B99,טבלאות!$G:$H,2,0)),"",VLOOKUP(B99,טבלאות!$G:$H,2,0))</f>
        <v/>
      </c>
      <c r="M99" s="51" t="str">
        <f t="shared" si="1"/>
        <v/>
      </c>
    </row>
    <row r="100" spans="2:13" hidden="1">
      <c r="B100" s="108"/>
      <c r="C100" s="111"/>
      <c r="D100" s="109"/>
      <c r="E100" s="108"/>
      <c r="F100" s="108"/>
      <c r="G100" s="108"/>
      <c r="H100" s="111"/>
      <c r="I100" s="109"/>
      <c r="L100" s="50" t="str">
        <f>IF(ISERROR(VLOOKUP(B100,טבלאות!$G:$H,2,0)),"",VLOOKUP(B100,טבלאות!$G:$H,2,0))</f>
        <v/>
      </c>
      <c r="M100" s="51" t="str">
        <f t="shared" si="1"/>
        <v/>
      </c>
    </row>
    <row r="101" spans="2:13" hidden="1">
      <c r="B101" s="108"/>
      <c r="C101" s="111"/>
      <c r="D101" s="109"/>
      <c r="E101" s="108"/>
      <c r="F101" s="108"/>
      <c r="G101" s="108"/>
      <c r="H101" s="108"/>
      <c r="I101" s="109"/>
      <c r="L101" s="50" t="str">
        <f>IF(ISERROR(VLOOKUP(B101,טבלאות!$G:$H,2,0)),"",VLOOKUP(B101,טבלאות!$G:$H,2,0))</f>
        <v/>
      </c>
      <c r="M101" s="51" t="str">
        <f t="shared" si="1"/>
        <v/>
      </c>
    </row>
    <row r="102" spans="2:13" hidden="1">
      <c r="B102" s="108"/>
      <c r="C102" s="111"/>
      <c r="D102" s="109"/>
      <c r="E102" s="108"/>
      <c r="F102" s="108"/>
      <c r="G102" s="108"/>
      <c r="H102" s="108"/>
      <c r="I102" s="109"/>
      <c r="L102" s="50" t="str">
        <f>IF(ISERROR(VLOOKUP(B102,טבלאות!$G:$H,2,0)),"",VLOOKUP(B102,טבלאות!$G:$H,2,0))</f>
        <v/>
      </c>
      <c r="M102" s="51" t="str">
        <f t="shared" si="1"/>
        <v/>
      </c>
    </row>
    <row r="103" spans="2:13" hidden="1">
      <c r="B103" s="108"/>
      <c r="C103" s="111"/>
      <c r="D103" s="109"/>
      <c r="E103" s="108"/>
      <c r="F103" s="108"/>
      <c r="G103" s="108"/>
      <c r="H103" s="108"/>
      <c r="I103" s="109"/>
      <c r="L103" s="50" t="str">
        <f>IF(ISERROR(VLOOKUP(B103,טבלאות!$G:$H,2,0)),"",VLOOKUP(B103,טבלאות!$G:$H,2,0))</f>
        <v/>
      </c>
      <c r="M103" s="51" t="str">
        <f t="shared" si="1"/>
        <v/>
      </c>
    </row>
    <row r="104" spans="2:13" hidden="1">
      <c r="B104" s="108"/>
      <c r="C104" s="111"/>
      <c r="D104" s="109"/>
      <c r="E104" s="108"/>
      <c r="F104" s="108"/>
      <c r="G104" s="108"/>
      <c r="H104" s="108"/>
      <c r="I104" s="109"/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2:13" hidden="1">
      <c r="B105" s="108"/>
      <c r="C105" s="111"/>
      <c r="D105" s="109"/>
      <c r="E105" s="108"/>
      <c r="F105" s="108"/>
      <c r="G105" s="108"/>
      <c r="H105" s="108"/>
      <c r="I105" s="109"/>
      <c r="L105" s="50" t="str">
        <f>IF(ISERROR(VLOOKUP(B105,טבלאות!$G:$H,2,0)),"",VLOOKUP(B105,טבלאות!$G:$H,2,0))</f>
        <v/>
      </c>
      <c r="M105" s="51" t="str">
        <f t="shared" si="1"/>
        <v/>
      </c>
    </row>
    <row r="106" spans="2:13" hidden="1">
      <c r="B106" s="108"/>
      <c r="C106" s="111"/>
      <c r="D106" s="109"/>
      <c r="E106" s="108"/>
      <c r="F106" s="108"/>
      <c r="G106" s="108"/>
      <c r="H106" s="108"/>
      <c r="I106" s="109"/>
      <c r="L106" s="50" t="str">
        <f>IF(ISERROR(VLOOKUP(B106,טבלאות!$G:$H,2,0)),"",VLOOKUP(B106,טבלאות!$G:$H,2,0))</f>
        <v/>
      </c>
      <c r="M106" s="51" t="str">
        <f t="shared" si="1"/>
        <v/>
      </c>
    </row>
    <row r="107" spans="2:13" hidden="1">
      <c r="B107" s="108"/>
      <c r="C107" s="111"/>
      <c r="D107" s="109"/>
      <c r="E107" s="108"/>
      <c r="F107" s="108"/>
      <c r="G107" s="108"/>
      <c r="H107" s="108"/>
      <c r="I107" s="109"/>
      <c r="L107" s="50" t="str">
        <f>IF(ISERROR(VLOOKUP(B107,טבלאות!$G:$H,2,0)),"",VLOOKUP(B107,טבלאות!$G:$H,2,0))</f>
        <v/>
      </c>
      <c r="M107" s="51" t="str">
        <f t="shared" si="1"/>
        <v/>
      </c>
    </row>
    <row r="108" spans="2:13" hidden="1">
      <c r="L108" s="50" t="str">
        <f>IF(ISERROR(VLOOKUP(B108,טבלאות!$G:$H,2,0)),"",VLOOKUP(B108,טבלאות!$G:$H,2,0))</f>
        <v/>
      </c>
      <c r="M108" s="51" t="str">
        <f t="shared" si="1"/>
        <v/>
      </c>
    </row>
    <row r="109" spans="2:13" hidden="1"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2:13" hidden="1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2:13" hidden="1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2:13" hidden="1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 hidden="1">
      <c r="L113" s="50" t="str">
        <f>IF(ISERROR(VLOOKUP(B113,טבלאות!$G:$H,2,0)),"",VLOOKUP(B113,טבלאות!$G:$H,2,0))</f>
        <v/>
      </c>
      <c r="M113" s="51" t="str">
        <f t="shared" si="1"/>
        <v/>
      </c>
    </row>
  </sheetData>
  <autoFilter ref="A1:N113" xr:uid="{00000000-0009-0000-0000-000007000000}">
    <filterColumn colId="11">
      <filters>
        <filter val="ביטוח"/>
      </filters>
    </filterColumn>
  </autoFilter>
  <conditionalFormatting sqref="L2:L113">
    <cfRule type="cellIs" dxfId="8" priority="1" operator="equal">
      <formula>""</formula>
    </cfRule>
  </conditionalFormatting>
  <dataValidations count="2">
    <dataValidation type="list" allowBlank="1" showInputMessage="1" showErrorMessage="1" sqref="K2:K113" xr:uid="{666C7F8F-90B0-4977-B4EC-0395B1E94A59}">
      <formula1>סוג_כרטיס</formula1>
    </dataValidation>
    <dataValidation type="list" allowBlank="1" showInputMessage="1" showErrorMessage="1" sqref="L2:L113" xr:uid="{DA2F93E9-60F3-473B-A985-605F41438CEE}">
      <formula1>סוגי_הוצאות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G115"/>
  <sheetViews>
    <sheetView rightToLeft="1" zoomScaleNormal="100" workbookViewId="0">
      <pane xSplit="3" ySplit="1" topLeftCell="D66" activePane="bottomRight" state="frozen"/>
      <selection pane="topRight" activeCell="D1" sqref="D1"/>
      <selection pane="bottomLeft" activeCell="A2" sqref="A2"/>
      <selection pane="bottomRight" activeCell="A66" sqref="A66:I70"/>
    </sheetView>
  </sheetViews>
  <sheetFormatPr defaultRowHeight="15"/>
  <cols>
    <col min="1" max="1" width="16.42578125" customWidth="1"/>
    <col min="2" max="2" width="22.140625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0" max="10" width="13" bestFit="1" customWidth="1"/>
    <col min="11" max="11" width="13.140625" style="73" bestFit="1" customWidth="1"/>
    <col min="12" max="12" width="17" style="73" bestFit="1" customWidth="1"/>
    <col min="13" max="13" width="9.140625" style="73"/>
    <col min="14" max="14" width="18.85546875" customWidth="1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 hidden="1">
      <c r="A2" s="105" t="s">
        <v>1355</v>
      </c>
      <c r="B2" s="105" t="s">
        <v>1241</v>
      </c>
      <c r="C2" s="105" t="s">
        <v>1540</v>
      </c>
      <c r="D2" s="106">
        <v>37</v>
      </c>
      <c r="E2" s="105" t="s">
        <v>1367</v>
      </c>
      <c r="F2" s="105" t="s">
        <v>1368</v>
      </c>
      <c r="G2" s="105" t="s">
        <v>1369</v>
      </c>
      <c r="H2" s="105" t="s">
        <v>1541</v>
      </c>
      <c r="I2" s="106">
        <v>37</v>
      </c>
      <c r="J2" s="102"/>
      <c r="K2" t="str">
        <f>IF(A2&gt;0,VLOOKUP(A2,טבלאות!$J:$K,2,0),"")</f>
        <v>אשראי מיכה</v>
      </c>
      <c r="L2" s="50" t="str">
        <f>IF(ISERROR(VLOOKUP(B2,טבלאות!$G:$H,2,0)),"",VLOOKUP(B2,טבלאות!$G:$H,2,0))</f>
        <v>מוצרי חשמל ותקשורת</v>
      </c>
      <c r="M2" s="51">
        <f t="shared" ref="M2:M65" si="0">IF(OR(L2="",L2="?"),"",IF(L2&gt;0,I2,""))</f>
        <v>37</v>
      </c>
    </row>
    <row r="3" spans="1:111" s="36" customFormat="1" ht="19.5" hidden="1" customHeight="1">
      <c r="A3" s="105" t="s">
        <v>1355</v>
      </c>
      <c r="B3" s="105" t="s">
        <v>1542</v>
      </c>
      <c r="C3" s="105" t="s">
        <v>1540</v>
      </c>
      <c r="D3" s="106">
        <v>5.3</v>
      </c>
      <c r="E3" s="105" t="s">
        <v>1367</v>
      </c>
      <c r="F3" s="105" t="s">
        <v>1368</v>
      </c>
      <c r="G3" s="105" t="s">
        <v>1369</v>
      </c>
      <c r="H3" s="105" t="s">
        <v>1541</v>
      </c>
      <c r="I3" s="106">
        <v>5.3</v>
      </c>
      <c r="J3" s="102"/>
      <c r="K3" t="str">
        <f>IF(A3&gt;0,VLOOKUP(A3,טבלאות!$J:$K,2,0),"")</f>
        <v>אשראי מיכה</v>
      </c>
      <c r="L3" s="50" t="str">
        <f>IF(ISERROR(VLOOKUP(B3,טבלאות!$G:$H,2,0)),"",VLOOKUP(B3,טבלאות!$G:$H,2,0))</f>
        <v>מזון ומשקאות</v>
      </c>
      <c r="M3" s="51">
        <f t="shared" si="0"/>
        <v>5.3</v>
      </c>
    </row>
    <row r="4" spans="1:111" ht="15" hidden="1" customHeight="1">
      <c r="A4" s="105" t="s">
        <v>1355</v>
      </c>
      <c r="B4" s="105" t="s">
        <v>358</v>
      </c>
      <c r="C4" s="105" t="s">
        <v>1543</v>
      </c>
      <c r="D4" s="106">
        <v>69.900000000000006</v>
      </c>
      <c r="E4" s="105" t="s">
        <v>1367</v>
      </c>
      <c r="F4" s="105" t="s">
        <v>1372</v>
      </c>
      <c r="G4" s="105" t="s">
        <v>1373</v>
      </c>
      <c r="H4" s="105" t="s">
        <v>1541</v>
      </c>
      <c r="I4" s="106">
        <v>69.900000000000006</v>
      </c>
      <c r="J4" s="102"/>
      <c r="K4" t="str">
        <f>IF(A4&gt;0,VLOOKUP(A4,טבלאות!$J:$K,2,0),"")</f>
        <v>אשראי מיכה</v>
      </c>
      <c r="L4" s="50" t="str">
        <f>IF(ISERROR(VLOOKUP(B4,טבלאות!$G:$H,2,0)),"",VLOOKUP(B4,טבלאות!$G:$H,2,0))</f>
        <v>מוצרי חשמל ותקשורת</v>
      </c>
      <c r="M4" s="51">
        <f t="shared" si="0"/>
        <v>69.900000000000006</v>
      </c>
    </row>
    <row r="5" spans="1:111" ht="15" hidden="1" customHeight="1">
      <c r="A5" s="105" t="s">
        <v>1355</v>
      </c>
      <c r="B5" s="105" t="s">
        <v>966</v>
      </c>
      <c r="C5" s="105" t="s">
        <v>1543</v>
      </c>
      <c r="D5" s="106">
        <v>36</v>
      </c>
      <c r="E5" s="105" t="s">
        <v>1367</v>
      </c>
      <c r="F5" s="105" t="s">
        <v>1368</v>
      </c>
      <c r="G5" s="105" t="s">
        <v>1369</v>
      </c>
      <c r="H5" s="105" t="s">
        <v>1541</v>
      </c>
      <c r="I5" s="106">
        <v>36</v>
      </c>
      <c r="J5" s="102"/>
      <c r="K5" t="str">
        <f>IF(A5&gt;0,VLOOKUP(A5,טבלאות!$J:$K,2,0),"")</f>
        <v>אשראי מיכה</v>
      </c>
      <c r="L5" s="50" t="str">
        <f>IF(ISERROR(VLOOKUP(B5,טבלאות!$G:$H,2,0)),"",VLOOKUP(B5,טבלאות!$G:$H,2,0))</f>
        <v>מזון ומשקאות</v>
      </c>
      <c r="M5" s="51">
        <f t="shared" si="0"/>
        <v>36</v>
      </c>
    </row>
    <row r="6" spans="1:111" ht="20.25" hidden="1" customHeight="1">
      <c r="A6" s="105" t="s">
        <v>764</v>
      </c>
      <c r="B6" s="105" t="s">
        <v>134</v>
      </c>
      <c r="C6" s="105" t="s">
        <v>1543</v>
      </c>
      <c r="D6" s="106">
        <v>1622</v>
      </c>
      <c r="E6" s="105" t="s">
        <v>1367</v>
      </c>
      <c r="F6" s="105" t="s">
        <v>1368</v>
      </c>
      <c r="G6" s="105" t="s">
        <v>1369</v>
      </c>
      <c r="H6" s="105" t="s">
        <v>1541</v>
      </c>
      <c r="I6" s="106">
        <v>1622</v>
      </c>
      <c r="J6" s="102"/>
      <c r="K6" t="str">
        <f>IF(A6&gt;0,VLOOKUP(A6,טבלאות!$J:$K,2,0),"")</f>
        <v>אשראי אורנה</v>
      </c>
      <c r="L6" s="50" t="str">
        <f>IF(ISERROR(VLOOKUP(B6,טבלאות!$G:$H,2,0)),"",VLOOKUP(B6,טבלאות!$G:$H,2,0))</f>
        <v>רכב ותחבורה</v>
      </c>
      <c r="M6" s="51">
        <f t="shared" si="0"/>
        <v>1622</v>
      </c>
    </row>
    <row r="7" spans="1:111" ht="15.75" hidden="1" customHeight="1">
      <c r="A7" s="105" t="s">
        <v>764</v>
      </c>
      <c r="B7" s="105" t="s">
        <v>137</v>
      </c>
      <c r="C7" s="105" t="s">
        <v>1543</v>
      </c>
      <c r="D7" s="106">
        <v>207.6</v>
      </c>
      <c r="E7" s="105" t="s">
        <v>1367</v>
      </c>
      <c r="F7" s="105" t="s">
        <v>1368</v>
      </c>
      <c r="G7" s="105" t="s">
        <v>1369</v>
      </c>
      <c r="H7" s="105" t="s">
        <v>1541</v>
      </c>
      <c r="I7" s="106">
        <v>207.6</v>
      </c>
      <c r="J7" s="102"/>
      <c r="K7" t="str">
        <f>IF(A7&gt;0,VLOOKUP(A7,טבלאות!$J:$K,2,0),"")</f>
        <v>אשראי אורנה</v>
      </c>
      <c r="L7" s="50" t="str">
        <f>IF(ISERROR(VLOOKUP(B7,טבלאות!$G:$H,2,0)),"",VLOOKUP(B7,טבלאות!$G:$H,2,0))</f>
        <v>רכב ותחבורה</v>
      </c>
      <c r="M7" s="51">
        <f t="shared" si="0"/>
        <v>207.6</v>
      </c>
    </row>
    <row r="8" spans="1:111" ht="15" hidden="1" customHeight="1">
      <c r="A8" s="105" t="s">
        <v>764</v>
      </c>
      <c r="B8" s="105" t="s">
        <v>581</v>
      </c>
      <c r="C8" s="105" t="s">
        <v>1543</v>
      </c>
      <c r="D8" s="106">
        <v>130</v>
      </c>
      <c r="E8" s="105" t="s">
        <v>1367</v>
      </c>
      <c r="F8" s="105" t="s">
        <v>1368</v>
      </c>
      <c r="G8" s="105" t="s">
        <v>1479</v>
      </c>
      <c r="H8" s="105" t="s">
        <v>1541</v>
      </c>
      <c r="I8" s="106">
        <v>130</v>
      </c>
      <c r="J8" s="102"/>
      <c r="K8" t="str">
        <f>IF(A8&gt;0,VLOOKUP(A8,טבלאות!$J:$K,2,0),"")</f>
        <v>אשראי אורנה</v>
      </c>
      <c r="L8" s="50" t="str">
        <f>IF(ISERROR(VLOOKUP(B8,טבלאות!$G:$H,2,0)),"",VLOOKUP(B8,טבלאות!$G:$H,2,0))</f>
        <v>חוגים</v>
      </c>
      <c r="M8" s="51">
        <f t="shared" si="0"/>
        <v>130</v>
      </c>
    </row>
    <row r="9" spans="1:111" ht="15" customHeight="1">
      <c r="A9" s="105" t="s">
        <v>1355</v>
      </c>
      <c r="B9" s="105" t="s">
        <v>1132</v>
      </c>
      <c r="C9" s="105" t="s">
        <v>1544</v>
      </c>
      <c r="D9" s="106">
        <v>80.23</v>
      </c>
      <c r="E9" s="105" t="s">
        <v>1367</v>
      </c>
      <c r="F9" s="105" t="s">
        <v>1368</v>
      </c>
      <c r="G9" s="105" t="s">
        <v>1375</v>
      </c>
      <c r="H9" s="105" t="s">
        <v>1541</v>
      </c>
      <c r="I9" s="106">
        <v>80.23</v>
      </c>
      <c r="J9" s="102"/>
      <c r="K9" t="str">
        <f>IF(A9&gt;0,VLOOKUP(A9,טבלאות!$J:$K,2,0),"")</f>
        <v>אשראי מיכה</v>
      </c>
      <c r="L9" s="50" t="str">
        <f>IF(ISERROR(VLOOKUP(B9,טבלאות!$G:$H,2,0)),"",VLOOKUP(B9,טבלאות!$G:$H,2,0))</f>
        <v>ביטוח</v>
      </c>
      <c r="M9" s="51">
        <f t="shared" si="0"/>
        <v>80.23</v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 hidden="1">
      <c r="A10" s="105" t="s">
        <v>1355</v>
      </c>
      <c r="B10" s="105" t="s">
        <v>86</v>
      </c>
      <c r="C10" s="105" t="s">
        <v>1544</v>
      </c>
      <c r="D10" s="106">
        <v>130.61000000000001</v>
      </c>
      <c r="E10" s="105" t="s">
        <v>1367</v>
      </c>
      <c r="F10" s="105" t="s">
        <v>1368</v>
      </c>
      <c r="G10" s="105" t="s">
        <v>1375</v>
      </c>
      <c r="H10" s="105" t="s">
        <v>1541</v>
      </c>
      <c r="I10" s="106">
        <v>130.61000000000001</v>
      </c>
      <c r="J10" s="102"/>
      <c r="K10" t="str">
        <f>IF(A10&gt;0,VLOOKUP(A10,טבלאות!$J:$K,2,0),"")</f>
        <v>אשראי מיכה</v>
      </c>
      <c r="L10" s="50" t="str">
        <f>IF(ISERROR(VLOOKUP(B10,טבלאות!$G:$H,2,0)),"",VLOOKUP(B10,טבלאות!$G:$H,2,0))</f>
        <v>מוצרי חשמל ותקשורת</v>
      </c>
      <c r="M10" s="51">
        <f t="shared" si="0"/>
        <v>130.61000000000001</v>
      </c>
    </row>
    <row r="11" spans="1:111" hidden="1">
      <c r="A11" s="105" t="s">
        <v>1355</v>
      </c>
      <c r="B11" s="105" t="s">
        <v>649</v>
      </c>
      <c r="C11" s="105" t="s">
        <v>1544</v>
      </c>
      <c r="D11" s="106">
        <v>72</v>
      </c>
      <c r="E11" s="105" t="s">
        <v>1367</v>
      </c>
      <c r="F11" s="105" t="s">
        <v>1368</v>
      </c>
      <c r="G11" s="105" t="s">
        <v>1369</v>
      </c>
      <c r="H11" s="105" t="s">
        <v>1541</v>
      </c>
      <c r="I11" s="106">
        <v>72</v>
      </c>
      <c r="J11" s="102"/>
      <c r="K11" t="str">
        <f>IF(A11&gt;0,VLOOKUP(A11,טבלאות!$J:$K,2,0),"")</f>
        <v>אשראי מיכה</v>
      </c>
      <c r="L11" s="50" t="str">
        <f>IF(ISERROR(VLOOKUP(B11,טבלאות!$G:$H,2,0)),"",VLOOKUP(B11,טבלאות!$G:$H,2,0))</f>
        <v>מזון ומשקאות</v>
      </c>
      <c r="M11" s="51">
        <f t="shared" si="0"/>
        <v>72</v>
      </c>
    </row>
    <row r="12" spans="1:111" hidden="1">
      <c r="A12" s="105" t="s">
        <v>1355</v>
      </c>
      <c r="B12" s="105" t="s">
        <v>966</v>
      </c>
      <c r="C12" s="105" t="s">
        <v>1544</v>
      </c>
      <c r="D12" s="106">
        <v>508.05</v>
      </c>
      <c r="E12" s="105" t="s">
        <v>1367</v>
      </c>
      <c r="F12" s="105" t="s">
        <v>1368</v>
      </c>
      <c r="G12" s="105" t="s">
        <v>1369</v>
      </c>
      <c r="H12" s="105" t="s">
        <v>1541</v>
      </c>
      <c r="I12" s="106">
        <v>508.05</v>
      </c>
      <c r="J12" s="102"/>
      <c r="K12" t="str">
        <f>IF(A12&gt;0,VLOOKUP(A12,טבלאות!$J:$K,2,0),"")</f>
        <v>אשראי מיכה</v>
      </c>
      <c r="L12" s="50" t="str">
        <f>IF(ISERROR(VLOOKUP(B12,טבלאות!$G:$H,2,0)),"",VLOOKUP(B12,טבלאות!$G:$H,2,0))</f>
        <v>מזון ומשקאות</v>
      </c>
      <c r="M12" s="51">
        <f t="shared" si="0"/>
        <v>508.05</v>
      </c>
    </row>
    <row r="13" spans="1:111" hidden="1">
      <c r="A13" s="105" t="s">
        <v>1355</v>
      </c>
      <c r="B13" s="105" t="s">
        <v>886</v>
      </c>
      <c r="C13" s="105" t="s">
        <v>1544</v>
      </c>
      <c r="D13" s="106">
        <v>48.73</v>
      </c>
      <c r="E13" s="105" t="s">
        <v>1367</v>
      </c>
      <c r="F13" s="105" t="s">
        <v>1368</v>
      </c>
      <c r="G13" s="105" t="s">
        <v>1369</v>
      </c>
      <c r="H13" s="105" t="s">
        <v>1541</v>
      </c>
      <c r="I13" s="106">
        <v>48.73</v>
      </c>
      <c r="J13" s="102"/>
      <c r="K13" t="str">
        <f>IF(A13&gt;0,VLOOKUP(A13,טבלאות!$J:$K,2,0),"")</f>
        <v>אשראי מיכה</v>
      </c>
      <c r="L13" s="50" t="str">
        <f>IF(ISERROR(VLOOKUP(B13,טבלאות!$G:$H,2,0)),"",VLOOKUP(B13,טבלאות!$G:$H,2,0))</f>
        <v>מזון ומשקאות</v>
      </c>
      <c r="M13" s="51">
        <f t="shared" si="0"/>
        <v>48.73</v>
      </c>
    </row>
    <row r="14" spans="1:111" hidden="1">
      <c r="A14" s="105" t="s">
        <v>1355</v>
      </c>
      <c r="B14" s="105" t="s">
        <v>1545</v>
      </c>
      <c r="C14" s="105" t="s">
        <v>1546</v>
      </c>
      <c r="D14" s="106">
        <v>2.82</v>
      </c>
      <c r="E14" s="105" t="s">
        <v>1367</v>
      </c>
      <c r="F14" s="105" t="s">
        <v>1368</v>
      </c>
      <c r="G14" s="105" t="s">
        <v>1377</v>
      </c>
      <c r="H14" s="105" t="s">
        <v>1541</v>
      </c>
      <c r="I14" s="106">
        <v>2.82</v>
      </c>
      <c r="J14" s="102"/>
      <c r="K14" t="str">
        <f>IF(A14&gt;0,VLOOKUP(A14,טבלאות!$J:$K,2,0),"")</f>
        <v>אשראי מיכה</v>
      </c>
      <c r="L14" s="50" t="str">
        <f>IF(ISERROR(VLOOKUP(B14,טבלאות!$G:$H,2,0)),"",VLOOKUP(B14,טבלאות!$G:$H,2,0))</f>
        <v>רכב ותחבורה</v>
      </c>
      <c r="M14" s="51">
        <f t="shared" si="0"/>
        <v>2.82</v>
      </c>
    </row>
    <row r="15" spans="1:111" hidden="1">
      <c r="A15" s="105" t="s">
        <v>1355</v>
      </c>
      <c r="B15" s="105" t="s">
        <v>1026</v>
      </c>
      <c r="C15" s="105" t="s">
        <v>1546</v>
      </c>
      <c r="D15" s="106">
        <v>61.02</v>
      </c>
      <c r="E15" s="105" t="s">
        <v>1367</v>
      </c>
      <c r="F15" s="105" t="s">
        <v>1368</v>
      </c>
      <c r="G15" s="105" t="s">
        <v>1375</v>
      </c>
      <c r="H15" s="105" t="s">
        <v>1541</v>
      </c>
      <c r="I15" s="106">
        <v>61.02</v>
      </c>
      <c r="J15" s="102"/>
      <c r="K15" t="str">
        <f>IF(A15&gt;0,VLOOKUP(A15,טבלאות!$J:$K,2,0),"")</f>
        <v>אשראי מיכה</v>
      </c>
      <c r="L15" s="50" t="str">
        <f>IF(ISERROR(VLOOKUP(B15,טבלאות!$G:$H,2,0)),"",VLOOKUP(B15,טבלאות!$G:$H,2,0))</f>
        <v>רכב ותחבורה</v>
      </c>
      <c r="M15" s="51">
        <f t="shared" si="0"/>
        <v>61.02</v>
      </c>
    </row>
    <row r="16" spans="1:111" hidden="1">
      <c r="A16" s="105" t="s">
        <v>1355</v>
      </c>
      <c r="B16" s="105" t="s">
        <v>966</v>
      </c>
      <c r="C16" s="105" t="s">
        <v>1546</v>
      </c>
      <c r="D16" s="106">
        <v>59.5</v>
      </c>
      <c r="E16" s="105" t="s">
        <v>1367</v>
      </c>
      <c r="F16" s="105" t="s">
        <v>1368</v>
      </c>
      <c r="G16" s="105" t="s">
        <v>1369</v>
      </c>
      <c r="H16" s="105" t="s">
        <v>1541</v>
      </c>
      <c r="I16" s="106">
        <v>59.5</v>
      </c>
      <c r="J16" s="102"/>
      <c r="K16" t="str">
        <f>IF(A16&gt;0,VLOOKUP(A16,טבלאות!$J:$K,2,0),"")</f>
        <v>אשראי מיכה</v>
      </c>
      <c r="L16" s="50" t="str">
        <f>IF(ISERROR(VLOOKUP(B16,טבלאות!$G:$H,2,0)),"",VLOOKUP(B16,טבלאות!$G:$H,2,0))</f>
        <v>מזון ומשקאות</v>
      </c>
      <c r="M16" s="51">
        <f t="shared" si="0"/>
        <v>59.5</v>
      </c>
    </row>
    <row r="17" spans="1:13">
      <c r="A17" s="105" t="s">
        <v>764</v>
      </c>
      <c r="B17" s="105" t="s">
        <v>1208</v>
      </c>
      <c r="C17" s="105" t="s">
        <v>1546</v>
      </c>
      <c r="D17" s="106">
        <v>588.77</v>
      </c>
      <c r="E17" s="105" t="s">
        <v>1367</v>
      </c>
      <c r="F17" s="105" t="s">
        <v>1368</v>
      </c>
      <c r="G17" s="105" t="s">
        <v>1375</v>
      </c>
      <c r="H17" s="105" t="s">
        <v>1541</v>
      </c>
      <c r="I17" s="106">
        <v>588.77</v>
      </c>
      <c r="J17" s="102"/>
      <c r="K17" t="str">
        <f>IF(A17&gt;0,VLOOKUP(A17,טבלאות!$J:$K,2,0),"")</f>
        <v>אשראי אורנה</v>
      </c>
      <c r="L17" s="50" t="str">
        <f>IF(ISERROR(VLOOKUP(B17,טבלאות!$G:$H,2,0)),"",VLOOKUP(B17,טבלאות!$G:$H,2,0))</f>
        <v>ביטוח</v>
      </c>
      <c r="M17" s="51">
        <f t="shared" si="0"/>
        <v>588.77</v>
      </c>
    </row>
    <row r="18" spans="1:13">
      <c r="A18" s="105" t="s">
        <v>764</v>
      </c>
      <c r="B18" s="105" t="s">
        <v>1098</v>
      </c>
      <c r="C18" s="105" t="s">
        <v>1547</v>
      </c>
      <c r="D18" s="106">
        <v>57.09</v>
      </c>
      <c r="E18" s="105" t="s">
        <v>1367</v>
      </c>
      <c r="F18" s="105" t="s">
        <v>1368</v>
      </c>
      <c r="G18" s="105" t="s">
        <v>1375</v>
      </c>
      <c r="H18" s="105" t="s">
        <v>1541</v>
      </c>
      <c r="I18" s="106">
        <v>57.09</v>
      </c>
      <c r="J18" s="102"/>
      <c r="K18" t="str">
        <f>IF(A18&gt;0,VLOOKUP(A18,טבלאות!$J:$K,2,0),"")</f>
        <v>אשראי אורנה</v>
      </c>
      <c r="L18" s="50" t="str">
        <f>IF(ISERROR(VLOOKUP(B18,טבלאות!$G:$H,2,0)),"",VLOOKUP(B18,טבלאות!$G:$H,2,0))</f>
        <v>ביטוח</v>
      </c>
      <c r="M18" s="51">
        <f t="shared" si="0"/>
        <v>57.09</v>
      </c>
    </row>
    <row r="19" spans="1:13" hidden="1">
      <c r="A19" s="105" t="s">
        <v>764</v>
      </c>
      <c r="B19" s="105" t="s">
        <v>741</v>
      </c>
      <c r="C19" s="105" t="s">
        <v>1547</v>
      </c>
      <c r="D19" s="106">
        <v>163.53</v>
      </c>
      <c r="E19" s="105" t="s">
        <v>1367</v>
      </c>
      <c r="F19" s="105" t="s">
        <v>1368</v>
      </c>
      <c r="G19" s="105" t="s">
        <v>1375</v>
      </c>
      <c r="H19" s="105" t="s">
        <v>1541</v>
      </c>
      <c r="I19" s="106">
        <v>163.53</v>
      </c>
      <c r="J19" s="102"/>
      <c r="K19" t="str">
        <f>IF(A19&gt;0,VLOOKUP(A19,טבלאות!$J:$K,2,0),"")</f>
        <v>אשראי אורנה</v>
      </c>
      <c r="L19" s="50" t="str">
        <f>IF(ISERROR(VLOOKUP(B19,טבלאות!$G:$H,2,0)),"",VLOOKUP(B19,טבלאות!$G:$H,2,0))</f>
        <v>מוצרי חשמל ותקשורת</v>
      </c>
      <c r="M19" s="51">
        <f t="shared" si="0"/>
        <v>163.53</v>
      </c>
    </row>
    <row r="20" spans="1:13" hidden="1">
      <c r="A20" s="105" t="s">
        <v>764</v>
      </c>
      <c r="B20" s="105" t="s">
        <v>581</v>
      </c>
      <c r="C20" s="105" t="s">
        <v>1547</v>
      </c>
      <c r="D20" s="106">
        <v>520</v>
      </c>
      <c r="E20" s="105" t="s">
        <v>1367</v>
      </c>
      <c r="F20" s="105" t="s">
        <v>1368</v>
      </c>
      <c r="G20" s="105" t="s">
        <v>1479</v>
      </c>
      <c r="H20" s="105" t="s">
        <v>1541</v>
      </c>
      <c r="I20" s="106">
        <v>520</v>
      </c>
      <c r="J20" s="102"/>
      <c r="K20" t="str">
        <f>IF(A20&gt;0,VLOOKUP(A20,טבלאות!$J:$K,2,0),"")</f>
        <v>אשראי אורנה</v>
      </c>
      <c r="L20" s="50" t="str">
        <f>IF(ISERROR(VLOOKUP(B20,טבלאות!$G:$H,2,0)),"",VLOOKUP(B20,טבלאות!$G:$H,2,0))</f>
        <v>חוגים</v>
      </c>
      <c r="M20" s="51">
        <f t="shared" si="0"/>
        <v>520</v>
      </c>
    </row>
    <row r="21" spans="1:13" hidden="1">
      <c r="A21" s="105" t="s">
        <v>1355</v>
      </c>
      <c r="B21" s="105" t="s">
        <v>886</v>
      </c>
      <c r="C21" s="105" t="s">
        <v>1548</v>
      </c>
      <c r="D21" s="106">
        <v>96.3</v>
      </c>
      <c r="E21" s="105" t="s">
        <v>1367</v>
      </c>
      <c r="F21" s="105" t="s">
        <v>1368</v>
      </c>
      <c r="G21" s="105" t="s">
        <v>1369</v>
      </c>
      <c r="H21" s="105" t="s">
        <v>1541</v>
      </c>
      <c r="I21" s="106">
        <v>96.3</v>
      </c>
      <c r="J21" s="102"/>
      <c r="K21" t="str">
        <f>IF(A21&gt;0,VLOOKUP(A21,טבלאות!$J:$K,2,0),"")</f>
        <v>אשראי מיכה</v>
      </c>
      <c r="L21" s="50" t="str">
        <f>IF(ISERROR(VLOOKUP(B21,טבלאות!$G:$H,2,0)),"",VLOOKUP(B21,טבלאות!$G:$H,2,0))</f>
        <v>מזון ומשקאות</v>
      </c>
      <c r="M21" s="51">
        <f t="shared" si="0"/>
        <v>96.3</v>
      </c>
    </row>
    <row r="22" spans="1:13" hidden="1">
      <c r="A22" s="105" t="s">
        <v>1355</v>
      </c>
      <c r="B22" s="105" t="s">
        <v>99</v>
      </c>
      <c r="C22" s="105" t="s">
        <v>1548</v>
      </c>
      <c r="D22" s="106">
        <v>34.4</v>
      </c>
      <c r="E22" s="105" t="s">
        <v>1367</v>
      </c>
      <c r="F22" s="105" t="s">
        <v>1368</v>
      </c>
      <c r="G22" s="105" t="s">
        <v>1369</v>
      </c>
      <c r="H22" s="105" t="s">
        <v>1541</v>
      </c>
      <c r="I22" s="106">
        <v>34.4</v>
      </c>
      <c r="J22" s="102"/>
      <c r="K22" t="str">
        <f>IF(A22&gt;0,VLOOKUP(A22,טבלאות!$J:$K,2,0),"")</f>
        <v>אשראי מיכה</v>
      </c>
      <c r="L22" s="50" t="str">
        <f>IF(ISERROR(VLOOKUP(B22,טבלאות!$G:$H,2,0)),"",VLOOKUP(B22,טבלאות!$G:$H,2,0))</f>
        <v>בריאות</v>
      </c>
      <c r="M22" s="51">
        <f t="shared" si="0"/>
        <v>34.4</v>
      </c>
    </row>
    <row r="23" spans="1:13" hidden="1">
      <c r="A23" s="105" t="s">
        <v>1355</v>
      </c>
      <c r="B23" s="105" t="s">
        <v>638</v>
      </c>
      <c r="C23" s="105" t="s">
        <v>1548</v>
      </c>
      <c r="D23" s="106">
        <v>159.02000000000001</v>
      </c>
      <c r="E23" s="105" t="s">
        <v>1367</v>
      </c>
      <c r="F23" s="105" t="s">
        <v>1368</v>
      </c>
      <c r="G23" s="105" t="s">
        <v>1369</v>
      </c>
      <c r="H23" s="105" t="s">
        <v>1541</v>
      </c>
      <c r="I23" s="106">
        <v>159.02000000000001</v>
      </c>
      <c r="J23" s="102"/>
      <c r="K23" t="str">
        <f>IF(A23&gt;0,VLOOKUP(A23,טבלאות!$J:$K,2,0),"")</f>
        <v>אשראי מיכה</v>
      </c>
      <c r="L23" s="50" t="str">
        <f>IF(ISERROR(VLOOKUP(B23,טבלאות!$G:$H,2,0)),"",VLOOKUP(B23,טבלאות!$G:$H,2,0))</f>
        <v>מזון ומשקאות</v>
      </c>
      <c r="M23" s="51">
        <f t="shared" si="0"/>
        <v>159.02000000000001</v>
      </c>
    </row>
    <row r="24" spans="1:13" hidden="1">
      <c r="A24" s="105" t="s">
        <v>764</v>
      </c>
      <c r="B24" s="105" t="s">
        <v>1079</v>
      </c>
      <c r="C24" s="105" t="s">
        <v>1549</v>
      </c>
      <c r="D24" s="106">
        <v>142.5</v>
      </c>
      <c r="E24" s="105" t="s">
        <v>1367</v>
      </c>
      <c r="F24" s="105" t="s">
        <v>1368</v>
      </c>
      <c r="G24" s="105" t="s">
        <v>1369</v>
      </c>
      <c r="H24" s="105" t="s">
        <v>1541</v>
      </c>
      <c r="I24" s="106">
        <v>142.5</v>
      </c>
      <c r="J24" s="102"/>
      <c r="K24" t="str">
        <f>IF(A24&gt;0,VLOOKUP(A24,טבלאות!$J:$K,2,0),"")</f>
        <v>אשראי אורנה</v>
      </c>
      <c r="L24" s="50" t="str">
        <f>IF(ISERROR(VLOOKUP(B24,טבלאות!$G:$H,2,0)),"",VLOOKUP(B24,טבלאות!$G:$H,2,0))</f>
        <v>ביגוד והנעלה</v>
      </c>
      <c r="M24" s="51">
        <f t="shared" si="0"/>
        <v>142.5</v>
      </c>
    </row>
    <row r="25" spans="1:13" hidden="1">
      <c r="A25" s="105" t="s">
        <v>764</v>
      </c>
      <c r="B25" s="105" t="s">
        <v>274</v>
      </c>
      <c r="C25" s="105" t="s">
        <v>1549</v>
      </c>
      <c r="D25" s="106">
        <v>59.9</v>
      </c>
      <c r="E25" s="105" t="s">
        <v>1367</v>
      </c>
      <c r="F25" s="105" t="s">
        <v>1368</v>
      </c>
      <c r="G25" s="105" t="s">
        <v>1369</v>
      </c>
      <c r="H25" s="105" t="s">
        <v>1541</v>
      </c>
      <c r="I25" s="106">
        <v>59.9</v>
      </c>
      <c r="J25" s="102"/>
      <c r="K25" t="str">
        <f>IF(A25&gt;0,VLOOKUP(A25,טבלאות!$J:$K,2,0),"")</f>
        <v>אשראי אורנה</v>
      </c>
      <c r="L25" s="50" t="str">
        <f>IF(ISERROR(VLOOKUP(B25,טבלאות!$G:$H,2,0)),"",VLOOKUP(B25,טבלאות!$G:$H,2,0))</f>
        <v>ילדים</v>
      </c>
      <c r="M25" s="51">
        <f t="shared" si="0"/>
        <v>59.9</v>
      </c>
    </row>
    <row r="26" spans="1:13" hidden="1">
      <c r="A26" s="105" t="s">
        <v>764</v>
      </c>
      <c r="B26" s="105" t="s">
        <v>1550</v>
      </c>
      <c r="C26" s="105" t="s">
        <v>1549</v>
      </c>
      <c r="D26" s="106">
        <v>35.729999999999997</v>
      </c>
      <c r="E26" s="105" t="s">
        <v>1367</v>
      </c>
      <c r="F26" s="105" t="s">
        <v>1368</v>
      </c>
      <c r="G26" s="105" t="s">
        <v>1369</v>
      </c>
      <c r="H26" s="105" t="s">
        <v>1541</v>
      </c>
      <c r="I26" s="106">
        <v>35.729999999999997</v>
      </c>
      <c r="J26" s="102"/>
      <c r="K26" t="str">
        <f>IF(A26&gt;0,VLOOKUP(A26,טבלאות!$J:$K,2,0),"")</f>
        <v>אשראי אורנה</v>
      </c>
      <c r="L26" s="50" t="str">
        <f>IF(ISERROR(VLOOKUP(B26,טבלאות!$G:$H,2,0)),"",VLOOKUP(B26,טבלאות!$G:$H,2,0))</f>
        <v>מתנות ומזכרות</v>
      </c>
      <c r="M26" s="51">
        <f t="shared" si="0"/>
        <v>35.729999999999997</v>
      </c>
    </row>
    <row r="27" spans="1:13" hidden="1">
      <c r="A27" s="105" t="s">
        <v>1355</v>
      </c>
      <c r="B27" s="105" t="s">
        <v>518</v>
      </c>
      <c r="C27" s="105" t="s">
        <v>1551</v>
      </c>
      <c r="D27" s="106">
        <v>111.12</v>
      </c>
      <c r="E27" s="105" t="s">
        <v>1367</v>
      </c>
      <c r="F27" s="105" t="s">
        <v>1368</v>
      </c>
      <c r="G27" s="105" t="s">
        <v>1369</v>
      </c>
      <c r="H27" s="105" t="s">
        <v>1541</v>
      </c>
      <c r="I27" s="106">
        <v>111.12</v>
      </c>
      <c r="J27" s="102"/>
      <c r="K27" t="str">
        <f>IF(A27&gt;0,VLOOKUP(A27,טבלאות!$J:$K,2,0),"")</f>
        <v>אשראי מיכה</v>
      </c>
      <c r="L27" s="50" t="str">
        <f>IF(ISERROR(VLOOKUP(B27,טבלאות!$G:$H,2,0)),"",VLOOKUP(B27,טבלאות!$G:$H,2,0))</f>
        <v>מזון ומשקאות</v>
      </c>
      <c r="M27" s="51">
        <f t="shared" si="0"/>
        <v>111.12</v>
      </c>
    </row>
    <row r="28" spans="1:13" hidden="1">
      <c r="A28" s="105" t="s">
        <v>1355</v>
      </c>
      <c r="B28" s="105" t="s">
        <v>76</v>
      </c>
      <c r="C28" s="105" t="s">
        <v>1552</v>
      </c>
      <c r="D28" s="106">
        <v>70.11</v>
      </c>
      <c r="E28" s="105" t="s">
        <v>1367</v>
      </c>
      <c r="F28" s="105" t="s">
        <v>1368</v>
      </c>
      <c r="G28" s="105" t="s">
        <v>1375</v>
      </c>
      <c r="H28" s="105" t="s">
        <v>1541</v>
      </c>
      <c r="I28" s="106">
        <v>70.11</v>
      </c>
      <c r="J28" s="102"/>
      <c r="K28" t="str">
        <f>IF(A28&gt;0,VLOOKUP(A28,טבלאות!$J:$K,2,0),"")</f>
        <v>אשראי מיכה</v>
      </c>
      <c r="L28" s="50" t="str">
        <f>IF(ISERROR(VLOOKUP(B28,טבלאות!$G:$H,2,0)),"",VLOOKUP(B28,טבלאות!$G:$H,2,0))</f>
        <v>בריאות</v>
      </c>
      <c r="M28" s="51">
        <f t="shared" si="0"/>
        <v>70.11</v>
      </c>
    </row>
    <row r="29" spans="1:13" hidden="1">
      <c r="A29" s="105" t="s">
        <v>1355</v>
      </c>
      <c r="B29" s="105" t="s">
        <v>1094</v>
      </c>
      <c r="C29" s="105" t="s">
        <v>1552</v>
      </c>
      <c r="D29" s="106">
        <v>141.80000000000001</v>
      </c>
      <c r="E29" s="105" t="s">
        <v>1367</v>
      </c>
      <c r="F29" s="105" t="s">
        <v>1368</v>
      </c>
      <c r="G29" s="105" t="s">
        <v>1369</v>
      </c>
      <c r="H29" s="105" t="s">
        <v>1541</v>
      </c>
      <c r="I29" s="106">
        <v>141.80000000000001</v>
      </c>
      <c r="J29" s="102"/>
      <c r="K29" t="str">
        <f>IF(A29&gt;0,VLOOKUP(A29,טבלאות!$J:$K,2,0),"")</f>
        <v>אשראי מיכה</v>
      </c>
      <c r="L29" s="50" t="str">
        <f>IF(ISERROR(VLOOKUP(B29,טבלאות!$G:$H,2,0)),"",VLOOKUP(B29,טבלאות!$G:$H,2,0))</f>
        <v>מזון ומשקאות</v>
      </c>
      <c r="M29" s="51">
        <f t="shared" si="0"/>
        <v>141.80000000000001</v>
      </c>
    </row>
    <row r="30" spans="1:13" hidden="1">
      <c r="A30" s="105" t="s">
        <v>1355</v>
      </c>
      <c r="B30" s="105" t="s">
        <v>1212</v>
      </c>
      <c r="C30" s="105" t="s">
        <v>1552</v>
      </c>
      <c r="D30" s="106">
        <v>128.61000000000001</v>
      </c>
      <c r="E30" s="105" t="s">
        <v>1367</v>
      </c>
      <c r="F30" s="105" t="s">
        <v>1368</v>
      </c>
      <c r="G30" s="105" t="s">
        <v>1375</v>
      </c>
      <c r="H30" s="105" t="s">
        <v>1541</v>
      </c>
      <c r="I30" s="106">
        <v>128.61000000000001</v>
      </c>
      <c r="J30" s="102"/>
      <c r="K30" t="str">
        <f>IF(A30&gt;0,VLOOKUP(A30,טבלאות!$J:$K,2,0),"")</f>
        <v>אשראי מיכה</v>
      </c>
      <c r="L30" s="50" t="str">
        <f>IF(ISERROR(VLOOKUP(B30,טבלאות!$G:$H,2,0)),"",VLOOKUP(B30,טבלאות!$G:$H,2,0))</f>
        <v>בריאות</v>
      </c>
      <c r="M30" s="51">
        <f t="shared" si="0"/>
        <v>128.61000000000001</v>
      </c>
    </row>
    <row r="31" spans="1:13" hidden="1">
      <c r="A31" s="105" t="s">
        <v>764</v>
      </c>
      <c r="B31" s="105" t="s">
        <v>137</v>
      </c>
      <c r="C31" s="105" t="s">
        <v>1552</v>
      </c>
      <c r="D31" s="106">
        <v>307.58999999999997</v>
      </c>
      <c r="E31" s="105" t="s">
        <v>1367</v>
      </c>
      <c r="F31" s="105" t="s">
        <v>1368</v>
      </c>
      <c r="G31" s="105" t="s">
        <v>1369</v>
      </c>
      <c r="H31" s="105" t="s">
        <v>1541</v>
      </c>
      <c r="I31" s="106">
        <v>307.58999999999997</v>
      </c>
      <c r="J31" s="102"/>
      <c r="K31" t="str">
        <f>IF(A31&gt;0,VLOOKUP(A31,טבלאות!$J:$K,2,0),"")</f>
        <v>אשראי אורנה</v>
      </c>
      <c r="L31" s="50" t="str">
        <f>IF(ISERROR(VLOOKUP(B31,טבלאות!$G:$H,2,0)),"",VLOOKUP(B31,טבלאות!$G:$H,2,0))</f>
        <v>רכב ותחבורה</v>
      </c>
      <c r="M31" s="51">
        <f t="shared" si="0"/>
        <v>307.58999999999997</v>
      </c>
    </row>
    <row r="32" spans="1:13" hidden="1">
      <c r="A32" s="105" t="s">
        <v>1355</v>
      </c>
      <c r="B32" s="105" t="s">
        <v>649</v>
      </c>
      <c r="C32" s="105" t="s">
        <v>1553</v>
      </c>
      <c r="D32" s="106">
        <v>43</v>
      </c>
      <c r="E32" s="105" t="s">
        <v>1367</v>
      </c>
      <c r="F32" s="105" t="s">
        <v>1368</v>
      </c>
      <c r="G32" s="105" t="s">
        <v>1369</v>
      </c>
      <c r="H32" s="105" t="s">
        <v>1541</v>
      </c>
      <c r="I32" s="106">
        <v>43</v>
      </c>
      <c r="J32" s="102"/>
      <c r="K32" t="str">
        <f>IF(A32&gt;0,VLOOKUP(A32,טבלאות!$J:$K,2,0),"")</f>
        <v>אשראי מיכה</v>
      </c>
      <c r="L32" s="50" t="str">
        <f>IF(ISERROR(VLOOKUP(B32,טבלאות!$G:$H,2,0)),"",VLOOKUP(B32,טבלאות!$G:$H,2,0))</f>
        <v>מזון ומשקאות</v>
      </c>
      <c r="M32" s="51">
        <f t="shared" si="0"/>
        <v>43</v>
      </c>
    </row>
    <row r="33" spans="1:13" hidden="1">
      <c r="A33" s="105" t="s">
        <v>1355</v>
      </c>
      <c r="B33" s="105" t="s">
        <v>966</v>
      </c>
      <c r="C33" s="105" t="s">
        <v>1553</v>
      </c>
      <c r="D33" s="106">
        <v>247.66</v>
      </c>
      <c r="E33" s="105" t="s">
        <v>1367</v>
      </c>
      <c r="F33" s="105" t="s">
        <v>1368</v>
      </c>
      <c r="G33" s="105" t="s">
        <v>1369</v>
      </c>
      <c r="H33" s="105" t="s">
        <v>1541</v>
      </c>
      <c r="I33" s="106">
        <v>247.66</v>
      </c>
      <c r="J33" s="102"/>
      <c r="K33" t="str">
        <f>IF(A33&gt;0,VLOOKUP(A33,טבלאות!$J:$K,2,0),"")</f>
        <v>אשראי מיכה</v>
      </c>
      <c r="L33" s="50" t="str">
        <f>IF(ISERROR(VLOOKUP(B33,טבלאות!$G:$H,2,0)),"",VLOOKUP(B33,טבלאות!$G:$H,2,0))</f>
        <v>מזון ומשקאות</v>
      </c>
      <c r="M33" s="51">
        <f t="shared" si="0"/>
        <v>247.66</v>
      </c>
    </row>
    <row r="34" spans="1:13" hidden="1">
      <c r="A34" s="105" t="s">
        <v>764</v>
      </c>
      <c r="B34" s="105" t="s">
        <v>581</v>
      </c>
      <c r="C34" s="105" t="s">
        <v>1553</v>
      </c>
      <c r="D34" s="106">
        <v>520</v>
      </c>
      <c r="E34" s="105" t="s">
        <v>1367</v>
      </c>
      <c r="F34" s="105" t="s">
        <v>1368</v>
      </c>
      <c r="G34" s="105" t="s">
        <v>1479</v>
      </c>
      <c r="H34" s="105" t="s">
        <v>1541</v>
      </c>
      <c r="I34" s="106">
        <v>520</v>
      </c>
      <c r="J34" s="102"/>
      <c r="K34" t="str">
        <f>IF(A34&gt;0,VLOOKUP(A34,טבלאות!$J:$K,2,0),"")</f>
        <v>אשראי אורנה</v>
      </c>
      <c r="L34" s="50" t="str">
        <f>IF(ISERROR(VLOOKUP(B34,טבלאות!$G:$H,2,0)),"",VLOOKUP(B34,טבלאות!$G:$H,2,0))</f>
        <v>חוגים</v>
      </c>
      <c r="M34" s="51">
        <f t="shared" si="0"/>
        <v>520</v>
      </c>
    </row>
    <row r="35" spans="1:13" hidden="1">
      <c r="A35" s="105" t="s">
        <v>764</v>
      </c>
      <c r="B35" s="105" t="s">
        <v>113</v>
      </c>
      <c r="C35" s="105" t="s">
        <v>1553</v>
      </c>
      <c r="D35" s="106">
        <v>6566</v>
      </c>
      <c r="E35" s="105" t="s">
        <v>1367</v>
      </c>
      <c r="F35" s="105" t="s">
        <v>1368</v>
      </c>
      <c r="G35" s="105" t="s">
        <v>1369</v>
      </c>
      <c r="H35" s="105" t="s">
        <v>1541</v>
      </c>
      <c r="I35" s="106">
        <v>6566</v>
      </c>
      <c r="J35" s="102"/>
      <c r="K35" t="str">
        <f>IF(A35&gt;0,VLOOKUP(A35,טבלאות!$J:$K,2,0),"")</f>
        <v>אשראי אורנה</v>
      </c>
      <c r="L35" s="50" t="str">
        <f>IF(ISERROR(VLOOKUP(B35,טבלאות!$G:$H,2,0)),"",VLOOKUP(B35,טבלאות!$G:$H,2,0))</f>
        <v>חוגים</v>
      </c>
      <c r="M35" s="51">
        <f t="shared" si="0"/>
        <v>6566</v>
      </c>
    </row>
    <row r="36" spans="1:13" hidden="1">
      <c r="A36" s="105" t="s">
        <v>1355</v>
      </c>
      <c r="B36" s="105" t="s">
        <v>1173</v>
      </c>
      <c r="C36" s="105" t="s">
        <v>1554</v>
      </c>
      <c r="D36" s="106">
        <v>61.7</v>
      </c>
      <c r="E36" s="105" t="s">
        <v>1367</v>
      </c>
      <c r="F36" s="105" t="s">
        <v>1372</v>
      </c>
      <c r="G36" s="105" t="s">
        <v>1396</v>
      </c>
      <c r="H36" s="105" t="s">
        <v>1541</v>
      </c>
      <c r="I36" s="106">
        <v>61.7</v>
      </c>
      <c r="J36" s="102"/>
      <c r="K36" t="str">
        <f>IF(A36&gt;0,VLOOKUP(A36,טבלאות!$J:$K,2,0),"")</f>
        <v>אשראי מיכה</v>
      </c>
      <c r="L36" s="50" t="str">
        <f>IF(ISERROR(VLOOKUP(B36,טבלאות!$G:$H,2,0)),"",VLOOKUP(B36,טבלאות!$G:$H,2,0))</f>
        <v>בית וגן</v>
      </c>
      <c r="M36" s="51">
        <f t="shared" si="0"/>
        <v>61.7</v>
      </c>
    </row>
    <row r="37" spans="1:13" hidden="1">
      <c r="A37" s="105" t="s">
        <v>1355</v>
      </c>
      <c r="B37" s="105" t="s">
        <v>649</v>
      </c>
      <c r="C37" s="105" t="s">
        <v>1555</v>
      </c>
      <c r="D37" s="106">
        <v>36</v>
      </c>
      <c r="E37" s="105" t="s">
        <v>1367</v>
      </c>
      <c r="F37" s="105" t="s">
        <v>1368</v>
      </c>
      <c r="G37" s="105" t="s">
        <v>1369</v>
      </c>
      <c r="H37" s="105" t="s">
        <v>1541</v>
      </c>
      <c r="I37" s="106">
        <v>36</v>
      </c>
      <c r="J37" s="102"/>
      <c r="K37" t="str">
        <f>IF(A37&gt;0,VLOOKUP(A37,טבלאות!$J:$K,2,0),"")</f>
        <v>אשראי מיכה</v>
      </c>
      <c r="L37" s="50" t="str">
        <f>IF(ISERROR(VLOOKUP(B37,טבלאות!$G:$H,2,0)),"",VLOOKUP(B37,טבלאות!$G:$H,2,0))</f>
        <v>מזון ומשקאות</v>
      </c>
      <c r="M37" s="51">
        <f t="shared" si="0"/>
        <v>36</v>
      </c>
    </row>
    <row r="38" spans="1:13" hidden="1">
      <c r="A38" s="105" t="s">
        <v>1355</v>
      </c>
      <c r="B38" s="105" t="s">
        <v>966</v>
      </c>
      <c r="C38" s="105" t="s">
        <v>1555</v>
      </c>
      <c r="D38" s="106">
        <v>373.17</v>
      </c>
      <c r="E38" s="105" t="s">
        <v>1367</v>
      </c>
      <c r="F38" s="105" t="s">
        <v>1368</v>
      </c>
      <c r="G38" s="105" t="s">
        <v>1369</v>
      </c>
      <c r="H38" s="105" t="s">
        <v>1541</v>
      </c>
      <c r="I38" s="106">
        <v>373.17</v>
      </c>
      <c r="J38" s="102"/>
      <c r="K38" t="str">
        <f>IF(A38&gt;0,VLOOKUP(A38,טבלאות!$J:$K,2,0),"")</f>
        <v>אשראי מיכה</v>
      </c>
      <c r="L38" s="50" t="str">
        <f>IF(ISERROR(VLOOKUP(B38,טבלאות!$G:$H,2,0)),"",VLOOKUP(B38,טבלאות!$G:$H,2,0))</f>
        <v>מזון ומשקאות</v>
      </c>
      <c r="M38" s="51">
        <f t="shared" si="0"/>
        <v>373.17</v>
      </c>
    </row>
    <row r="39" spans="1:13" hidden="1">
      <c r="A39" s="105" t="s">
        <v>764</v>
      </c>
      <c r="B39" s="105" t="s">
        <v>804</v>
      </c>
      <c r="C39" s="105" t="s">
        <v>1555</v>
      </c>
      <c r="D39" s="106">
        <v>69.900000000000006</v>
      </c>
      <c r="E39" s="105" t="s">
        <v>1367</v>
      </c>
      <c r="F39" s="105" t="s">
        <v>1368</v>
      </c>
      <c r="G39" s="105" t="s">
        <v>1369</v>
      </c>
      <c r="H39" s="105" t="s">
        <v>1541</v>
      </c>
      <c r="I39" s="106">
        <v>69.900000000000006</v>
      </c>
      <c r="J39" s="102"/>
      <c r="K39" t="str">
        <f>IF(A39&gt;0,VLOOKUP(A39,טבלאות!$J:$K,2,0),"")</f>
        <v>אשראי אורנה</v>
      </c>
      <c r="L39" s="50" t="str">
        <f>IF(ISERROR(VLOOKUP(B39,טבלאות!$G:$H,2,0)),"",VLOOKUP(B39,טבלאות!$G:$H,2,0))</f>
        <v>ביגוד והנעלה</v>
      </c>
      <c r="M39" s="51">
        <f t="shared" si="0"/>
        <v>69.900000000000006</v>
      </c>
    </row>
    <row r="40" spans="1:13" hidden="1">
      <c r="A40" s="105" t="s">
        <v>764</v>
      </c>
      <c r="B40" s="105" t="s">
        <v>924</v>
      </c>
      <c r="C40" s="105" t="s">
        <v>1556</v>
      </c>
      <c r="D40" s="106">
        <v>350</v>
      </c>
      <c r="E40" s="105" t="s">
        <v>1367</v>
      </c>
      <c r="F40" s="105" t="s">
        <v>1368</v>
      </c>
      <c r="G40" s="105" t="s">
        <v>1369</v>
      </c>
      <c r="H40" s="105" t="s">
        <v>1541</v>
      </c>
      <c r="I40" s="106">
        <v>350</v>
      </c>
      <c r="J40" s="102"/>
      <c r="K40" t="str">
        <f>IF(A40&gt;0,VLOOKUP(A40,טבלאות!$J:$K,2,0),"")</f>
        <v>אשראי אורנה</v>
      </c>
      <c r="L40" s="50" t="str">
        <f>IF(ISERROR(VLOOKUP(B40,טבלאות!$G:$H,2,0)),"",VLOOKUP(B40,טבלאות!$G:$H,2,0))</f>
        <v>בית וגן</v>
      </c>
      <c r="M40" s="51">
        <f t="shared" si="0"/>
        <v>350</v>
      </c>
    </row>
    <row r="41" spans="1:13" hidden="1">
      <c r="A41" s="105" t="s">
        <v>1355</v>
      </c>
      <c r="B41" s="105" t="s">
        <v>638</v>
      </c>
      <c r="C41" s="105" t="s">
        <v>1557</v>
      </c>
      <c r="D41" s="106">
        <v>75.900000000000006</v>
      </c>
      <c r="E41" s="105" t="s">
        <v>1367</v>
      </c>
      <c r="F41" s="105" t="s">
        <v>1368</v>
      </c>
      <c r="G41" s="105" t="s">
        <v>1369</v>
      </c>
      <c r="H41" s="105" t="s">
        <v>1541</v>
      </c>
      <c r="I41" s="106">
        <v>75.900000000000006</v>
      </c>
      <c r="J41" s="102"/>
      <c r="K41" t="str">
        <f>IF(A41&gt;0,VLOOKUP(A41,טבלאות!$J:$K,2,0),"")</f>
        <v>אשראי מיכה</v>
      </c>
      <c r="L41" s="50" t="str">
        <f>IF(ISERROR(VLOOKUP(B41,טבלאות!$G:$H,2,0)),"",VLOOKUP(B41,טבלאות!$G:$H,2,0))</f>
        <v>מזון ומשקאות</v>
      </c>
      <c r="M41" s="51">
        <f t="shared" si="0"/>
        <v>75.900000000000006</v>
      </c>
    </row>
    <row r="42" spans="1:13" hidden="1">
      <c r="A42" s="105" t="s">
        <v>764</v>
      </c>
      <c r="B42" s="105" t="s">
        <v>246</v>
      </c>
      <c r="C42" s="105" t="s">
        <v>1557</v>
      </c>
      <c r="D42" s="106">
        <v>260</v>
      </c>
      <c r="E42" s="105" t="s">
        <v>1367</v>
      </c>
      <c r="F42" s="105" t="s">
        <v>1368</v>
      </c>
      <c r="G42" s="105" t="s">
        <v>1386</v>
      </c>
      <c r="H42" s="105" t="s">
        <v>1541</v>
      </c>
      <c r="I42" s="106">
        <v>260</v>
      </c>
      <c r="J42" s="102"/>
      <c r="K42" t="str">
        <f>IF(A42&gt;0,VLOOKUP(A42,טבלאות!$J:$K,2,0),"")</f>
        <v>אשראי אורנה</v>
      </c>
      <c r="L42" s="50" t="str">
        <f>IF(ISERROR(VLOOKUP(B42,טבלאות!$G:$H,2,0)),"",VLOOKUP(B42,טבלאות!$G:$H,2,0))</f>
        <v>חוגים</v>
      </c>
      <c r="M42" s="51">
        <f t="shared" si="0"/>
        <v>260</v>
      </c>
    </row>
    <row r="43" spans="1:13" hidden="1">
      <c r="A43" s="105" t="s">
        <v>1355</v>
      </c>
      <c r="B43" s="105" t="s">
        <v>565</v>
      </c>
      <c r="C43" s="105" t="s">
        <v>1558</v>
      </c>
      <c r="D43" s="106">
        <v>119.08</v>
      </c>
      <c r="E43" s="105" t="s">
        <v>1367</v>
      </c>
      <c r="F43" s="105" t="s">
        <v>1368</v>
      </c>
      <c r="G43" s="105" t="s">
        <v>1369</v>
      </c>
      <c r="H43" s="105" t="s">
        <v>1541</v>
      </c>
      <c r="I43" s="106">
        <v>119.08</v>
      </c>
      <c r="J43" s="102"/>
      <c r="K43" t="str">
        <f>IF(A43&gt;0,VLOOKUP(A43,טבלאות!$J:$K,2,0),"")</f>
        <v>אשראי מיכה</v>
      </c>
      <c r="L43" s="50" t="str">
        <f>IF(ISERROR(VLOOKUP(B43,טבלאות!$G:$H,2,0)),"",VLOOKUP(B43,טבלאות!$G:$H,2,0))</f>
        <v>מתנות ומזכרות</v>
      </c>
      <c r="M43" s="51">
        <f t="shared" si="0"/>
        <v>119.08</v>
      </c>
    </row>
    <row r="44" spans="1:13" hidden="1">
      <c r="A44" s="105" t="s">
        <v>1355</v>
      </c>
      <c r="B44" s="105" t="s">
        <v>649</v>
      </c>
      <c r="C44" s="105" t="s">
        <v>1558</v>
      </c>
      <c r="D44" s="106">
        <v>72</v>
      </c>
      <c r="E44" s="105" t="s">
        <v>1367</v>
      </c>
      <c r="F44" s="105" t="s">
        <v>1368</v>
      </c>
      <c r="G44" s="105" t="s">
        <v>1369</v>
      </c>
      <c r="H44" s="105" t="s">
        <v>1541</v>
      </c>
      <c r="I44" s="106">
        <v>72</v>
      </c>
      <c r="J44" s="102"/>
      <c r="K44" t="str">
        <f>IF(A44&gt;0,VLOOKUP(A44,טבלאות!$J:$K,2,0),"")</f>
        <v>אשראי מיכה</v>
      </c>
      <c r="L44" s="50" t="str">
        <f>IF(ISERROR(VLOOKUP(B44,טבלאות!$G:$H,2,0)),"",VLOOKUP(B44,טבלאות!$G:$H,2,0))</f>
        <v>מזון ומשקאות</v>
      </c>
      <c r="M44" s="51">
        <f t="shared" si="0"/>
        <v>72</v>
      </c>
    </row>
    <row r="45" spans="1:13" hidden="1">
      <c r="A45" s="105" t="s">
        <v>1355</v>
      </c>
      <c r="B45" s="105" t="s">
        <v>966</v>
      </c>
      <c r="C45" s="105" t="s">
        <v>1558</v>
      </c>
      <c r="D45" s="106">
        <v>653.52</v>
      </c>
      <c r="E45" s="105" t="s">
        <v>1367</v>
      </c>
      <c r="F45" s="105" t="s">
        <v>1368</v>
      </c>
      <c r="G45" s="105" t="s">
        <v>1369</v>
      </c>
      <c r="H45" s="105" t="s">
        <v>1541</v>
      </c>
      <c r="I45" s="106">
        <v>653.52</v>
      </c>
      <c r="J45" s="102"/>
      <c r="K45" t="str">
        <f>IF(A45&gt;0,VLOOKUP(A45,טבלאות!$J:$K,2,0),"")</f>
        <v>אשראי מיכה</v>
      </c>
      <c r="L45" s="50" t="str">
        <f>IF(ISERROR(VLOOKUP(B45,טבלאות!$G:$H,2,0)),"",VLOOKUP(B45,טבלאות!$G:$H,2,0))</f>
        <v>מזון ומשקאות</v>
      </c>
      <c r="M45" s="51">
        <f t="shared" si="0"/>
        <v>653.52</v>
      </c>
    </row>
    <row r="46" spans="1:13" hidden="1">
      <c r="A46" s="105" t="s">
        <v>764</v>
      </c>
      <c r="B46" s="105" t="s">
        <v>137</v>
      </c>
      <c r="C46" s="105" t="s">
        <v>1558</v>
      </c>
      <c r="D46" s="106">
        <v>241.76</v>
      </c>
      <c r="E46" s="105" t="s">
        <v>1367</v>
      </c>
      <c r="F46" s="105" t="s">
        <v>1368</v>
      </c>
      <c r="G46" s="105" t="s">
        <v>1369</v>
      </c>
      <c r="H46" s="105" t="s">
        <v>1541</v>
      </c>
      <c r="I46" s="106">
        <v>241.76</v>
      </c>
      <c r="J46" s="102"/>
      <c r="K46" t="str">
        <f>IF(A46&gt;0,VLOOKUP(A46,טבלאות!$J:$K,2,0),"")</f>
        <v>אשראי אורנה</v>
      </c>
      <c r="L46" s="50" t="str">
        <f>IF(ISERROR(VLOOKUP(B46,טבלאות!$G:$H,2,0)),"",VLOOKUP(B46,טבלאות!$G:$H,2,0))</f>
        <v>רכב ותחבורה</v>
      </c>
      <c r="M46" s="51">
        <f t="shared" si="0"/>
        <v>241.76</v>
      </c>
    </row>
    <row r="47" spans="1:13" hidden="1">
      <c r="A47" s="105" t="s">
        <v>1355</v>
      </c>
      <c r="B47" s="105" t="s">
        <v>1354</v>
      </c>
      <c r="C47" s="105" t="s">
        <v>1559</v>
      </c>
      <c r="D47" s="106">
        <v>49</v>
      </c>
      <c r="E47" s="105" t="s">
        <v>1367</v>
      </c>
      <c r="F47" s="105" t="s">
        <v>1368</v>
      </c>
      <c r="G47" s="105" t="s">
        <v>1369</v>
      </c>
      <c r="H47" s="105" t="s">
        <v>1541</v>
      </c>
      <c r="I47" s="106">
        <v>49</v>
      </c>
      <c r="J47" s="102"/>
      <c r="K47" t="str">
        <f>IF(A47&gt;0,VLOOKUP(A47,טבלאות!$J:$K,2,0),"")</f>
        <v>אשראי מיכה</v>
      </c>
      <c r="L47" s="50" t="str">
        <f>IF(ISERROR(VLOOKUP(B47,טבלאות!$G:$H,2,0)),"",VLOOKUP(B47,טבלאות!$G:$H,2,0))</f>
        <v>נופש</v>
      </c>
      <c r="M47" s="51">
        <f t="shared" si="0"/>
        <v>49</v>
      </c>
    </row>
    <row r="48" spans="1:13" hidden="1">
      <c r="A48" s="105" t="s">
        <v>1355</v>
      </c>
      <c r="B48" s="105" t="s">
        <v>638</v>
      </c>
      <c r="C48" s="105" t="s">
        <v>1560</v>
      </c>
      <c r="D48" s="106">
        <v>48.02</v>
      </c>
      <c r="E48" s="105" t="s">
        <v>1367</v>
      </c>
      <c r="F48" s="105" t="s">
        <v>1368</v>
      </c>
      <c r="G48" s="105" t="s">
        <v>1369</v>
      </c>
      <c r="H48" s="105" t="s">
        <v>1541</v>
      </c>
      <c r="I48" s="106">
        <v>48.02</v>
      </c>
      <c r="J48" s="101"/>
      <c r="K48" t="str">
        <f>IF(A48&gt;0,VLOOKUP(A48,טבלאות!$J:$K,2,0),"")</f>
        <v>אשראי מיכה</v>
      </c>
      <c r="L48" s="50" t="str">
        <f>IF(ISERROR(VLOOKUP(B48,טבלאות!$G:$H,2,0)),"",VLOOKUP(B48,טבלאות!$G:$H,2,0))</f>
        <v>מזון ומשקאות</v>
      </c>
      <c r="M48" s="51">
        <f t="shared" si="0"/>
        <v>48.02</v>
      </c>
    </row>
    <row r="49" spans="1:13" hidden="1">
      <c r="A49" s="105" t="s">
        <v>764</v>
      </c>
      <c r="B49" s="105" t="s">
        <v>518</v>
      </c>
      <c r="C49" s="105" t="s">
        <v>1561</v>
      </c>
      <c r="D49" s="106">
        <v>89.4</v>
      </c>
      <c r="E49" s="105" t="s">
        <v>1367</v>
      </c>
      <c r="F49" s="105" t="s">
        <v>1368</v>
      </c>
      <c r="G49" s="105" t="s">
        <v>1369</v>
      </c>
      <c r="H49" s="105" t="s">
        <v>1541</v>
      </c>
      <c r="I49" s="106">
        <v>89.4</v>
      </c>
      <c r="J49" s="102"/>
      <c r="K49" t="str">
        <f>IF(A49&gt;0,VLOOKUP(A49,טבלאות!$J:$K,2,0),"")</f>
        <v>אשראי אורנה</v>
      </c>
      <c r="L49" s="50" t="str">
        <f>IF(ISERROR(VLOOKUP(B49,טבלאות!$G:$H,2,0)),"",VLOOKUP(B49,טבלאות!$G:$H,2,0))</f>
        <v>מזון ומשקאות</v>
      </c>
      <c r="M49" s="51">
        <f t="shared" si="0"/>
        <v>89.4</v>
      </c>
    </row>
    <row r="50" spans="1:13" hidden="1">
      <c r="A50" s="105" t="s">
        <v>1355</v>
      </c>
      <c r="B50" s="105" t="s">
        <v>940</v>
      </c>
      <c r="C50" s="105" t="s">
        <v>1562</v>
      </c>
      <c r="D50" s="106">
        <v>45</v>
      </c>
      <c r="E50" s="105" t="s">
        <v>1367</v>
      </c>
      <c r="F50" s="105" t="s">
        <v>1372</v>
      </c>
      <c r="G50" s="105" t="s">
        <v>1563</v>
      </c>
      <c r="H50" s="105" t="s">
        <v>1541</v>
      </c>
      <c r="I50" s="106">
        <v>45</v>
      </c>
      <c r="J50" s="102"/>
      <c r="K50" t="str">
        <f>IF(A50&gt;0,VLOOKUP(A50,טבלאות!$J:$K,2,0),"")</f>
        <v>אשראי מיכה</v>
      </c>
      <c r="L50" s="50" t="str">
        <f>IF(ISERROR(VLOOKUP(B50,טבלאות!$G:$H,2,0)),"",VLOOKUP(B50,טבלאות!$G:$H,2,0))</f>
        <v>מתנות ומזכרות</v>
      </c>
      <c r="M50" s="51">
        <f t="shared" si="0"/>
        <v>45</v>
      </c>
    </row>
    <row r="51" spans="1:13" hidden="1">
      <c r="A51" s="105" t="s">
        <v>1355</v>
      </c>
      <c r="B51" s="105" t="s">
        <v>940</v>
      </c>
      <c r="C51" s="105" t="s">
        <v>1562</v>
      </c>
      <c r="D51" s="106">
        <v>9</v>
      </c>
      <c r="E51" s="105" t="s">
        <v>1367</v>
      </c>
      <c r="F51" s="105" t="s">
        <v>1372</v>
      </c>
      <c r="G51" s="105" t="s">
        <v>1563</v>
      </c>
      <c r="H51" s="105" t="s">
        <v>1541</v>
      </c>
      <c r="I51" s="106">
        <v>9</v>
      </c>
      <c r="J51" s="102"/>
      <c r="K51" t="str">
        <f>IF(A51&gt;0,VLOOKUP(A51,טבלאות!$J:$K,2,0),"")</f>
        <v>אשראי מיכה</v>
      </c>
      <c r="L51" s="50" t="str">
        <f>IF(ISERROR(VLOOKUP(B51,טבלאות!$G:$H,2,0)),"",VLOOKUP(B51,טבלאות!$G:$H,2,0))</f>
        <v>מתנות ומזכרות</v>
      </c>
      <c r="M51" s="51">
        <f t="shared" si="0"/>
        <v>9</v>
      </c>
    </row>
    <row r="52" spans="1:13" hidden="1">
      <c r="A52" s="105" t="s">
        <v>1355</v>
      </c>
      <c r="B52" s="105" t="s">
        <v>1526</v>
      </c>
      <c r="C52" s="105" t="s">
        <v>1564</v>
      </c>
      <c r="D52" s="107">
        <v>-20</v>
      </c>
      <c r="E52" s="105" t="s">
        <v>1367</v>
      </c>
      <c r="F52" s="105" t="s">
        <v>1431</v>
      </c>
      <c r="G52" s="105" t="s">
        <v>1565</v>
      </c>
      <c r="H52" s="105" t="s">
        <v>1559</v>
      </c>
      <c r="I52" s="106">
        <v>-59.89</v>
      </c>
      <c r="J52" s="102"/>
      <c r="K52" t="str">
        <f>IF(A52&gt;0,VLOOKUP(A52,טבלאות!$J:$K,2,0),"")</f>
        <v>אשראי מיכה</v>
      </c>
      <c r="L52" s="50" t="str">
        <f>IF(ISERROR(VLOOKUP(B52,טבלאות!$G:$H,2,0)),"",VLOOKUP(B52,טבלאות!$G:$H,2,0))</f>
        <v>מוצרי חשמל ותקשורת</v>
      </c>
      <c r="M52" s="51">
        <f t="shared" si="0"/>
        <v>-59.89</v>
      </c>
    </row>
    <row r="53" spans="1:13" hidden="1">
      <c r="A53" s="105" t="s">
        <v>764</v>
      </c>
      <c r="B53" s="105" t="s">
        <v>246</v>
      </c>
      <c r="C53" s="105" t="s">
        <v>1564</v>
      </c>
      <c r="D53" s="106">
        <v>260</v>
      </c>
      <c r="E53" s="105" t="s">
        <v>1367</v>
      </c>
      <c r="F53" s="105" t="s">
        <v>1368</v>
      </c>
      <c r="G53" s="105" t="s">
        <v>1405</v>
      </c>
      <c r="H53" s="105" t="s">
        <v>1541</v>
      </c>
      <c r="I53" s="106">
        <v>260</v>
      </c>
      <c r="J53" s="102"/>
      <c r="K53" t="str">
        <f>IF(A53&gt;0,VLOOKUP(A53,טבלאות!$J:$K,2,0),"")</f>
        <v>אשראי אורנה</v>
      </c>
      <c r="L53" s="50" t="str">
        <f>IF(ISERROR(VLOOKUP(B53,טבלאות!$G:$H,2,0)),"",VLOOKUP(B53,טבלאות!$G:$H,2,0))</f>
        <v>חוגים</v>
      </c>
      <c r="M53" s="51">
        <f t="shared" si="0"/>
        <v>260</v>
      </c>
    </row>
    <row r="54" spans="1:13" hidden="1">
      <c r="A54" s="105" t="s">
        <v>1355</v>
      </c>
      <c r="B54" s="105" t="s">
        <v>649</v>
      </c>
      <c r="C54" s="105" t="s">
        <v>1566</v>
      </c>
      <c r="D54" s="106">
        <v>72</v>
      </c>
      <c r="E54" s="105" t="s">
        <v>1367</v>
      </c>
      <c r="F54" s="105" t="s">
        <v>1368</v>
      </c>
      <c r="G54" s="105" t="s">
        <v>1369</v>
      </c>
      <c r="H54" s="105" t="s">
        <v>1541</v>
      </c>
      <c r="I54" s="106">
        <v>72</v>
      </c>
      <c r="J54" s="102"/>
      <c r="K54" t="str">
        <f>IF(A54&gt;0,VLOOKUP(A54,טבלאות!$J:$K,2,0),"")</f>
        <v>אשראי מיכה</v>
      </c>
      <c r="L54" s="50" t="str">
        <f>IF(ISERROR(VLOOKUP(B54,טבלאות!$G:$H,2,0)),"",VLOOKUP(B54,טבלאות!$G:$H,2,0))</f>
        <v>מזון ומשקאות</v>
      </c>
      <c r="M54" s="51">
        <f t="shared" si="0"/>
        <v>72</v>
      </c>
    </row>
    <row r="55" spans="1:13" hidden="1">
      <c r="A55" s="105" t="s">
        <v>1355</v>
      </c>
      <c r="B55" s="105" t="s">
        <v>373</v>
      </c>
      <c r="C55" s="105" t="s">
        <v>1566</v>
      </c>
      <c r="D55" s="106">
        <v>32.299999999999997</v>
      </c>
      <c r="E55" s="105" t="s">
        <v>1367</v>
      </c>
      <c r="F55" s="105" t="s">
        <v>1368</v>
      </c>
      <c r="G55" s="105" t="s">
        <v>1369</v>
      </c>
      <c r="H55" s="105" t="s">
        <v>1541</v>
      </c>
      <c r="I55" s="106">
        <v>32.299999999999997</v>
      </c>
      <c r="J55" s="102"/>
      <c r="K55" t="str">
        <f>IF(A55&gt;0,VLOOKUP(A55,טבלאות!$J:$K,2,0),"")</f>
        <v>אשראי מיכה</v>
      </c>
      <c r="L55" s="50" t="str">
        <f>IF(ISERROR(VLOOKUP(B55,טבלאות!$G:$H,2,0)),"",VLOOKUP(B55,טבלאות!$G:$H,2,0))</f>
        <v>בריאות</v>
      </c>
      <c r="M55" s="51">
        <f t="shared" si="0"/>
        <v>32.299999999999997</v>
      </c>
    </row>
    <row r="56" spans="1:13" hidden="1">
      <c r="A56" s="105" t="s">
        <v>764</v>
      </c>
      <c r="B56" s="105" t="s">
        <v>1567</v>
      </c>
      <c r="C56" s="105" t="s">
        <v>1568</v>
      </c>
      <c r="D56" s="106">
        <v>19.899999999999999</v>
      </c>
      <c r="E56" s="105" t="s">
        <v>1367</v>
      </c>
      <c r="F56" s="105" t="s">
        <v>1368</v>
      </c>
      <c r="G56" s="105" t="s">
        <v>1369</v>
      </c>
      <c r="H56" s="105" t="s">
        <v>1541</v>
      </c>
      <c r="I56" s="106">
        <v>19.899999999999999</v>
      </c>
      <c r="J56" s="102"/>
      <c r="K56" t="str">
        <f>IF(A56&gt;0,VLOOKUP(A56,טבלאות!$J:$K,2,0),"")</f>
        <v>אשראי אורנה</v>
      </c>
      <c r="L56" s="50" t="str">
        <f>IF(ISERROR(VLOOKUP(B56,טבלאות!$G:$H,2,0)),"",VLOOKUP(B56,טבלאות!$G:$H,2,0))</f>
        <v>מתנות ומזכרות</v>
      </c>
      <c r="M56" s="51">
        <f t="shared" si="0"/>
        <v>19.899999999999999</v>
      </c>
    </row>
    <row r="57" spans="1:13" hidden="1">
      <c r="A57" s="105" t="s">
        <v>764</v>
      </c>
      <c r="B57" s="105" t="s">
        <v>1101</v>
      </c>
      <c r="C57" s="105" t="s">
        <v>1568</v>
      </c>
      <c r="D57" s="106">
        <v>72.13</v>
      </c>
      <c r="E57" s="105" t="s">
        <v>1367</v>
      </c>
      <c r="F57" s="105" t="s">
        <v>1368</v>
      </c>
      <c r="G57" s="105" t="s">
        <v>1369</v>
      </c>
      <c r="H57" s="105" t="s">
        <v>1541</v>
      </c>
      <c r="I57" s="106">
        <v>72.13</v>
      </c>
      <c r="J57" s="102"/>
      <c r="K57" t="str">
        <f>IF(A57&gt;0,VLOOKUP(A57,טבלאות!$J:$K,2,0),"")</f>
        <v>אשראי אורנה</v>
      </c>
      <c r="L57" s="50" t="str">
        <f>IF(ISERROR(VLOOKUP(B57,טבלאות!$G:$H,2,0)),"",VLOOKUP(B57,טבלאות!$G:$H,2,0))</f>
        <v>מזון ומשקאות</v>
      </c>
      <c r="M57" s="51">
        <f t="shared" si="0"/>
        <v>72.13</v>
      </c>
    </row>
    <row r="58" spans="1:13" hidden="1">
      <c r="A58" s="105" t="s">
        <v>1355</v>
      </c>
      <c r="B58" s="105" t="s">
        <v>368</v>
      </c>
      <c r="C58" s="105" t="s">
        <v>1569</v>
      </c>
      <c r="D58" s="106">
        <v>74.8</v>
      </c>
      <c r="E58" s="105" t="s">
        <v>1367</v>
      </c>
      <c r="F58" s="105" t="s">
        <v>1368</v>
      </c>
      <c r="G58" s="105" t="s">
        <v>1369</v>
      </c>
      <c r="H58" s="105" t="s">
        <v>1541</v>
      </c>
      <c r="I58" s="106">
        <v>74.8</v>
      </c>
      <c r="J58" s="102"/>
      <c r="K58" t="str">
        <f>IF(A58&gt;0,VLOOKUP(A58,טבלאות!$J:$K,2,0),"")</f>
        <v>אשראי מיכה</v>
      </c>
      <c r="L58" s="50" t="str">
        <f>IF(ISERROR(VLOOKUP(B58,טבלאות!$G:$H,2,0)),"",VLOOKUP(B58,טבלאות!$G:$H,2,0))</f>
        <v>בית וגן</v>
      </c>
      <c r="M58" s="51">
        <f t="shared" si="0"/>
        <v>74.8</v>
      </c>
    </row>
    <row r="59" spans="1:13" hidden="1">
      <c r="A59" s="105" t="s">
        <v>1355</v>
      </c>
      <c r="B59" s="105" t="s">
        <v>649</v>
      </c>
      <c r="C59" s="105" t="s">
        <v>1569</v>
      </c>
      <c r="D59" s="106">
        <v>36</v>
      </c>
      <c r="E59" s="105" t="s">
        <v>1367</v>
      </c>
      <c r="F59" s="105" t="s">
        <v>1368</v>
      </c>
      <c r="G59" s="105" t="s">
        <v>1369</v>
      </c>
      <c r="H59" s="105" t="s">
        <v>1541</v>
      </c>
      <c r="I59" s="106">
        <v>36</v>
      </c>
      <c r="J59" s="102"/>
      <c r="K59" t="str">
        <f>IF(A59&gt;0,VLOOKUP(A59,טבלאות!$J:$K,2,0),"")</f>
        <v>אשראי מיכה</v>
      </c>
      <c r="L59" s="50" t="str">
        <f>IF(ISERROR(VLOOKUP(B59,טבלאות!$G:$H,2,0)),"",VLOOKUP(B59,טבלאות!$G:$H,2,0))</f>
        <v>מזון ומשקאות</v>
      </c>
      <c r="M59" s="51">
        <f t="shared" si="0"/>
        <v>36</v>
      </c>
    </row>
    <row r="60" spans="1:13" hidden="1">
      <c r="A60" s="105" t="s">
        <v>1355</v>
      </c>
      <c r="B60" s="105" t="s">
        <v>886</v>
      </c>
      <c r="C60" s="105" t="s">
        <v>1569</v>
      </c>
      <c r="D60" s="106">
        <v>102.7</v>
      </c>
      <c r="E60" s="105" t="s">
        <v>1367</v>
      </c>
      <c r="F60" s="105" t="s">
        <v>1368</v>
      </c>
      <c r="G60" s="105" t="s">
        <v>1369</v>
      </c>
      <c r="H60" s="105" t="s">
        <v>1541</v>
      </c>
      <c r="I60" s="106">
        <v>102.7</v>
      </c>
      <c r="J60" s="102"/>
      <c r="K60" t="str">
        <f>IF(A60&gt;0,VLOOKUP(A60,טבלאות!$J:$K,2,0),"")</f>
        <v>אשראי מיכה</v>
      </c>
      <c r="L60" s="50" t="str">
        <f>IF(ISERROR(VLOOKUP(B60,טבלאות!$G:$H,2,0)),"",VLOOKUP(B60,טבלאות!$G:$H,2,0))</f>
        <v>מזון ומשקאות</v>
      </c>
      <c r="M60" s="51">
        <f t="shared" si="0"/>
        <v>102.7</v>
      </c>
    </row>
    <row r="61" spans="1:13" hidden="1">
      <c r="A61" s="105" t="s">
        <v>1355</v>
      </c>
      <c r="B61" s="105" t="s">
        <v>638</v>
      </c>
      <c r="C61" s="105" t="s">
        <v>1569</v>
      </c>
      <c r="D61" s="106">
        <v>106.58</v>
      </c>
      <c r="E61" s="105" t="s">
        <v>1367</v>
      </c>
      <c r="F61" s="105" t="s">
        <v>1368</v>
      </c>
      <c r="G61" s="105" t="s">
        <v>1369</v>
      </c>
      <c r="H61" s="105" t="s">
        <v>1541</v>
      </c>
      <c r="I61" s="106">
        <v>106.58</v>
      </c>
      <c r="J61" s="102"/>
      <c r="K61" t="str">
        <f>IF(A61&gt;0,VLOOKUP(A61,טבלאות!$J:$K,2,0),"")</f>
        <v>אשראי מיכה</v>
      </c>
      <c r="L61" s="50" t="str">
        <f>IF(ISERROR(VLOOKUP(B61,טבלאות!$G:$H,2,0)),"",VLOOKUP(B61,טבלאות!$G:$H,2,0))</f>
        <v>מזון ומשקאות</v>
      </c>
      <c r="M61" s="51">
        <f t="shared" si="0"/>
        <v>106.58</v>
      </c>
    </row>
    <row r="62" spans="1:13" hidden="1">
      <c r="A62" s="105" t="s">
        <v>764</v>
      </c>
      <c r="B62" s="105" t="s">
        <v>516</v>
      </c>
      <c r="C62" s="105" t="s">
        <v>1570</v>
      </c>
      <c r="D62" s="106">
        <v>30</v>
      </c>
      <c r="E62" s="105" t="s">
        <v>1367</v>
      </c>
      <c r="F62" s="105" t="s">
        <v>1368</v>
      </c>
      <c r="G62" s="105" t="s">
        <v>1375</v>
      </c>
      <c r="H62" s="105" t="s">
        <v>1541</v>
      </c>
      <c r="I62" s="106">
        <v>30</v>
      </c>
      <c r="J62" s="102"/>
      <c r="K62" t="str">
        <f>IF(A62&gt;0,VLOOKUP(A62,טבלאות!$J:$K,2,0),"")</f>
        <v>אשראי אורנה</v>
      </c>
      <c r="L62" s="50" t="str">
        <f>IF(ISERROR(VLOOKUP(B62,טבלאות!$G:$H,2,0)),"",VLOOKUP(B62,טבלאות!$G:$H,2,0))</f>
        <v>שונות</v>
      </c>
      <c r="M62" s="51">
        <f t="shared" si="0"/>
        <v>30</v>
      </c>
    </row>
    <row r="63" spans="1:13" hidden="1">
      <c r="A63" s="105" t="s">
        <v>764</v>
      </c>
      <c r="B63" s="105" t="s">
        <v>113</v>
      </c>
      <c r="C63" s="105" t="s">
        <v>1418</v>
      </c>
      <c r="D63" s="106">
        <v>2430</v>
      </c>
      <c r="E63" s="105" t="s">
        <v>1367</v>
      </c>
      <c r="F63" s="105" t="s">
        <v>1383</v>
      </c>
      <c r="G63" s="105" t="s">
        <v>1571</v>
      </c>
      <c r="H63" s="105" t="s">
        <v>1541</v>
      </c>
      <c r="I63" s="106">
        <v>270</v>
      </c>
      <c r="J63" s="102"/>
      <c r="K63" t="str">
        <f>IF(A63&gt;0,VLOOKUP(A63,טבלאות!$J:$K,2,0),"")</f>
        <v>אשראי אורנה</v>
      </c>
      <c r="L63" s="50" t="str">
        <f>IF(ISERROR(VLOOKUP(B63,טבלאות!$G:$H,2,0)),"",VLOOKUP(B63,טבלאות!$G:$H,2,0))</f>
        <v>חוגים</v>
      </c>
      <c r="M63" s="51">
        <f t="shared" si="0"/>
        <v>270</v>
      </c>
    </row>
    <row r="64" spans="1:13" hidden="1">
      <c r="A64" s="105" t="s">
        <v>764</v>
      </c>
      <c r="B64" s="105" t="s">
        <v>207</v>
      </c>
      <c r="C64" s="105" t="s">
        <v>1420</v>
      </c>
      <c r="D64" s="106">
        <v>3650</v>
      </c>
      <c r="E64" s="105" t="s">
        <v>1367</v>
      </c>
      <c r="F64" s="105" t="s">
        <v>1383</v>
      </c>
      <c r="G64" s="105" t="s">
        <v>1572</v>
      </c>
      <c r="H64" s="105" t="s">
        <v>1541</v>
      </c>
      <c r="I64" s="106">
        <v>365</v>
      </c>
      <c r="J64" s="102"/>
      <c r="K64" t="str">
        <f>IF(A64&gt;0,VLOOKUP(A64,טבלאות!$J:$K,2,0),"")</f>
        <v>אשראי אורנה</v>
      </c>
      <c r="L64" s="50" t="str">
        <f>IF(ISERROR(VLOOKUP(B64,טבלאות!$G:$H,2,0)),"",VLOOKUP(B64,טבלאות!$G:$H,2,0))</f>
        <v>חוגים</v>
      </c>
      <c r="M64" s="51">
        <f t="shared" si="0"/>
        <v>365</v>
      </c>
    </row>
    <row r="65" spans="1:14" hidden="1">
      <c r="A65">
        <v>9973</v>
      </c>
      <c r="B65" s="113" t="s">
        <v>1237</v>
      </c>
      <c r="C65" s="116">
        <v>46135</v>
      </c>
      <c r="D65" s="114">
        <v>17.899999999999999</v>
      </c>
      <c r="E65" s="113"/>
      <c r="F65" s="113"/>
      <c r="G65" s="113"/>
      <c r="H65" s="105" t="s">
        <v>1541</v>
      </c>
      <c r="I65" s="114">
        <v>0</v>
      </c>
      <c r="J65" s="102"/>
      <c r="K65" t="str">
        <f>IF(A65&gt;0,VLOOKUP(A65,טבלאות!$J:$K,2,0),"")</f>
        <v>ישראכרט אורנה</v>
      </c>
      <c r="L65" s="50" t="str">
        <f>IF(ISERROR(VLOOKUP(B65,טבלאות!$G:$H,2,0)),"",VLOOKUP(B65,טבלאות!$G:$H,2,0))</f>
        <v>שירותי בנקאות</v>
      </c>
      <c r="M65" s="51">
        <f t="shared" si="0"/>
        <v>0</v>
      </c>
    </row>
    <row r="66" spans="1:14">
      <c r="A66">
        <v>9973</v>
      </c>
      <c r="B66" s="113" t="s">
        <v>1205</v>
      </c>
      <c r="C66" s="116">
        <v>46125</v>
      </c>
      <c r="D66" s="114">
        <v>138.80000000000001</v>
      </c>
      <c r="E66" s="113"/>
      <c r="F66" s="113"/>
      <c r="G66" s="113"/>
      <c r="H66" s="105" t="s">
        <v>1541</v>
      </c>
      <c r="I66" s="114">
        <v>138.80000000000001</v>
      </c>
      <c r="J66" s="102"/>
      <c r="K66" t="str">
        <f>IF(A66&gt;0,VLOOKUP(A66,טבלאות!$J:$K,2,0),"")</f>
        <v>ישראכרט אורנה</v>
      </c>
      <c r="L66" s="50" t="str">
        <f>IF(ISERROR(VLOOKUP(B66,טבלאות!$G:$H,2,0)),"",VLOOKUP(B66,טבלאות!$G:$H,2,0))</f>
        <v>ביטוח</v>
      </c>
      <c r="M66" s="51">
        <f t="shared" ref="M66:M114" si="1">IF(OR(L66="",L66="?"),"",IF(L66&gt;0,I66,""))</f>
        <v>138.80000000000001</v>
      </c>
    </row>
    <row r="67" spans="1:14">
      <c r="A67">
        <v>9973</v>
      </c>
      <c r="B67" s="113" t="s">
        <v>1205</v>
      </c>
      <c r="C67" s="116">
        <v>46125</v>
      </c>
      <c r="D67" s="114">
        <v>142.12</v>
      </c>
      <c r="E67" s="113"/>
      <c r="F67" s="113"/>
      <c r="G67" s="113"/>
      <c r="H67" s="105" t="s">
        <v>1541</v>
      </c>
      <c r="I67" s="114">
        <v>142.12</v>
      </c>
      <c r="J67" s="102"/>
      <c r="K67" t="str">
        <f>IF(A67&gt;0,VLOOKUP(A67,טבלאות!$J:$K,2,0),"")</f>
        <v>ישראכרט אורנה</v>
      </c>
      <c r="L67" s="50" t="str">
        <f>IF(ISERROR(VLOOKUP(B67,טבלאות!$G:$H,2,0)),"",VLOOKUP(B67,טבלאות!$G:$H,2,0))</f>
        <v>ביטוח</v>
      </c>
      <c r="M67" s="51">
        <f t="shared" si="1"/>
        <v>142.12</v>
      </c>
    </row>
    <row r="68" spans="1:14">
      <c r="A68">
        <v>9973</v>
      </c>
      <c r="B68" s="113" t="s">
        <v>1205</v>
      </c>
      <c r="C68" s="116">
        <v>46125</v>
      </c>
      <c r="D68" s="114">
        <v>107.03</v>
      </c>
      <c r="E68" s="113"/>
      <c r="F68" s="113"/>
      <c r="G68" s="113"/>
      <c r="H68" s="105" t="s">
        <v>1541</v>
      </c>
      <c r="I68" s="114">
        <v>107.03</v>
      </c>
      <c r="J68" s="102"/>
      <c r="K68" t="str">
        <f>IF(A68&gt;0,VLOOKUP(A68,טבלאות!$J:$K,2,0),"")</f>
        <v>ישראכרט אורנה</v>
      </c>
      <c r="L68" s="50" t="str">
        <f>IF(ISERROR(VLOOKUP(B68,טבלאות!$G:$H,2,0)),"",VLOOKUP(B68,טבלאות!$G:$H,2,0))</f>
        <v>ביטוח</v>
      </c>
      <c r="M68" s="51">
        <f t="shared" si="1"/>
        <v>107.03</v>
      </c>
    </row>
    <row r="69" spans="1:14">
      <c r="A69">
        <v>9973</v>
      </c>
      <c r="B69" s="113" t="s">
        <v>1205</v>
      </c>
      <c r="C69" s="116">
        <v>46125</v>
      </c>
      <c r="D69" s="114">
        <v>53.02</v>
      </c>
      <c r="E69" s="113"/>
      <c r="F69" s="113"/>
      <c r="G69" s="113"/>
      <c r="H69" s="105" t="s">
        <v>1541</v>
      </c>
      <c r="I69" s="114">
        <v>53.02</v>
      </c>
      <c r="J69" s="102"/>
      <c r="K69" t="str">
        <f>IF(A69&gt;0,VLOOKUP(A69,טבלאות!$J:$K,2,0),"")</f>
        <v>ישראכרט אורנה</v>
      </c>
      <c r="L69" s="50" t="str">
        <f>IF(ISERROR(VLOOKUP(B69,טבלאות!$G:$H,2,0)),"",VLOOKUP(B69,טבלאות!$G:$H,2,0))</f>
        <v>ביטוח</v>
      </c>
      <c r="M69" s="51">
        <f t="shared" si="1"/>
        <v>53.02</v>
      </c>
    </row>
    <row r="70" spans="1:14">
      <c r="A70">
        <v>9973</v>
      </c>
      <c r="B70" s="113" t="s">
        <v>1205</v>
      </c>
      <c r="C70" s="116">
        <v>46125</v>
      </c>
      <c r="D70" s="114">
        <v>53.02</v>
      </c>
      <c r="E70" s="113"/>
      <c r="F70" s="113"/>
      <c r="G70" s="113"/>
      <c r="H70" s="105" t="s">
        <v>1541</v>
      </c>
      <c r="I70" s="114">
        <v>53.02</v>
      </c>
      <c r="J70" s="102"/>
      <c r="K70" t="str">
        <f>IF(A70&gt;0,VLOOKUP(A70,טבלאות!$J:$K,2,0),"")</f>
        <v>ישראכרט אורנה</v>
      </c>
      <c r="L70" s="50" t="str">
        <f>IF(ISERROR(VLOOKUP(B70,טבלאות!$G:$H,2,0)),"",VLOOKUP(B70,טבלאות!$G:$H,2,0))</f>
        <v>ביטוח</v>
      </c>
      <c r="M70" s="51">
        <f t="shared" si="1"/>
        <v>53.02</v>
      </c>
    </row>
    <row r="71" spans="1:14" hidden="1">
      <c r="A71" t="s">
        <v>626</v>
      </c>
      <c r="B71" s="138" t="s">
        <v>1219</v>
      </c>
      <c r="C71" s="142">
        <v>46138</v>
      </c>
      <c r="D71" s="114">
        <v>41.3</v>
      </c>
      <c r="E71" s="138"/>
      <c r="F71" s="138"/>
      <c r="G71" s="138"/>
      <c r="H71" s="105" t="s">
        <v>1541</v>
      </c>
      <c r="I71" s="144">
        <v>41.3</v>
      </c>
      <c r="J71" s="102"/>
      <c r="K71" t="str">
        <f>IF(A71&gt;0,VLOOKUP(A71,טבלאות!$J:$K,2,0),"")</f>
        <v>שופרסל</v>
      </c>
      <c r="L71" s="50" t="str">
        <f>IF(ISERROR(VLOOKUP(B71,טבלאות!$G:$H,2,0)),"",VLOOKUP(B71,טבלאות!$G:$H,2,0))</f>
        <v>מזון ומשקאות</v>
      </c>
      <c r="M71" s="51">
        <f t="shared" si="1"/>
        <v>41.3</v>
      </c>
    </row>
    <row r="72" spans="1:14" hidden="1">
      <c r="A72" t="s">
        <v>626</v>
      </c>
      <c r="B72" s="138" t="s">
        <v>1155</v>
      </c>
      <c r="C72" s="142">
        <v>46125</v>
      </c>
      <c r="D72" s="114">
        <v>39</v>
      </c>
      <c r="E72" s="138"/>
      <c r="F72" s="138"/>
      <c r="G72" s="138"/>
      <c r="H72" s="105" t="s">
        <v>1541</v>
      </c>
      <c r="I72" s="144">
        <v>39</v>
      </c>
      <c r="J72" s="102"/>
      <c r="K72" t="str">
        <f>IF(A72&gt;0,VLOOKUP(A72,טבלאות!$J:$K,2,0),"")</f>
        <v>שופרסל</v>
      </c>
      <c r="L72" s="50" t="str">
        <f>IF(ISERROR(VLOOKUP(B72,טבלאות!$G:$H,2,0)),"",VLOOKUP(B72,טבלאות!$G:$H,2,0))</f>
        <v>מזון ומשקאות</v>
      </c>
      <c r="M72" s="51">
        <f t="shared" si="1"/>
        <v>39</v>
      </c>
    </row>
    <row r="73" spans="1:14" hidden="1">
      <c r="A73" t="s">
        <v>626</v>
      </c>
      <c r="B73" s="138" t="s">
        <v>648</v>
      </c>
      <c r="C73" s="142">
        <v>46125</v>
      </c>
      <c r="D73" s="144">
        <v>1110</v>
      </c>
      <c r="E73" s="138"/>
      <c r="F73" s="138"/>
      <c r="G73" s="138"/>
      <c r="H73" s="105" t="s">
        <v>1541</v>
      </c>
      <c r="I73" s="144">
        <v>1110</v>
      </c>
      <c r="K73" t="str">
        <f>IF(A73&gt;0,VLOOKUP(A73,טבלאות!$J:$K,2,0),"")</f>
        <v>שופרסל</v>
      </c>
      <c r="L73" s="50" t="s">
        <v>39</v>
      </c>
      <c r="M73" s="51">
        <f t="shared" si="1"/>
        <v>1110</v>
      </c>
      <c r="N73" t="s">
        <v>1573</v>
      </c>
    </row>
    <row r="74" spans="1:14" hidden="1">
      <c r="A74" t="s">
        <v>626</v>
      </c>
      <c r="B74" s="138" t="s">
        <v>1219</v>
      </c>
      <c r="C74" s="142">
        <v>46124</v>
      </c>
      <c r="D74" s="144">
        <v>31.8</v>
      </c>
      <c r="E74" s="138"/>
      <c r="F74" s="138"/>
      <c r="G74" s="138"/>
      <c r="H74" s="105" t="s">
        <v>1541</v>
      </c>
      <c r="I74" s="144">
        <v>31.8</v>
      </c>
      <c r="K74" t="str">
        <f>IF(A74&gt;0,VLOOKUP(A74,טבלאות!$J:$K,2,0),"")</f>
        <v>שופרסל</v>
      </c>
      <c r="L74" s="50" t="str">
        <f>IF(ISERROR(VLOOKUP(B74,טבלאות!$G:$H,2,0)),"",VLOOKUP(B74,טבלאות!$G:$H,2,0))</f>
        <v>מזון ומשקאות</v>
      </c>
      <c r="M74" s="51">
        <f t="shared" si="1"/>
        <v>31.8</v>
      </c>
    </row>
    <row r="75" spans="1:14" hidden="1">
      <c r="A75" t="s">
        <v>626</v>
      </c>
      <c r="B75" s="138" t="s">
        <v>1526</v>
      </c>
      <c r="C75" s="142">
        <v>46121</v>
      </c>
      <c r="D75" s="144">
        <v>20</v>
      </c>
      <c r="E75" s="138"/>
      <c r="F75" s="138"/>
      <c r="G75" s="138"/>
      <c r="H75" s="105" t="s">
        <v>1541</v>
      </c>
      <c r="I75" s="144">
        <v>62.97</v>
      </c>
      <c r="K75" t="str">
        <f>IF(A75&gt;0,VLOOKUP(A75,טבלאות!$J:$K,2,0),"")</f>
        <v>שופרסל</v>
      </c>
      <c r="L75" s="50" t="str">
        <f>IF(ISERROR(VLOOKUP(B75,טבלאות!$G:$H,2,0)),"",VLOOKUP(B75,טבלאות!$G:$H,2,0))</f>
        <v>מוצרי חשמל ותקשורת</v>
      </c>
      <c r="M75" s="51">
        <f t="shared" si="1"/>
        <v>62.97</v>
      </c>
    </row>
    <row r="76" spans="1:14" hidden="1">
      <c r="A76" t="s">
        <v>626</v>
      </c>
      <c r="B76" s="138" t="s">
        <v>109</v>
      </c>
      <c r="C76" s="142">
        <v>46117</v>
      </c>
      <c r="D76" s="144">
        <v>12.9</v>
      </c>
      <c r="E76" s="138"/>
      <c r="F76" s="138"/>
      <c r="G76" s="138"/>
      <c r="H76" s="105" t="s">
        <v>1541</v>
      </c>
      <c r="I76" s="144">
        <v>0</v>
      </c>
      <c r="K76" t="str">
        <f>IF(A76&gt;0,VLOOKUP(A76,טבלאות!$J:$K,2,0),"")</f>
        <v>שופרסל</v>
      </c>
      <c r="L76" s="50" t="str">
        <f>IF(ISERROR(VLOOKUP(B76,טבלאות!$G:$H,2,0)),"",VLOOKUP(B76,טבלאות!$G:$H,2,0))</f>
        <v>שירותי בנקאות</v>
      </c>
      <c r="M76" s="51">
        <f t="shared" si="1"/>
        <v>0</v>
      </c>
    </row>
    <row r="77" spans="1:14" hidden="1">
      <c r="A77" s="113"/>
      <c r="B77" s="113"/>
      <c r="C77" s="113"/>
      <c r="D77" s="114"/>
      <c r="E77" s="113"/>
      <c r="F77" s="113"/>
      <c r="G77" s="113"/>
      <c r="H77" s="113"/>
      <c r="I77" s="114"/>
      <c r="K77" t="str">
        <f>IF(A77&gt;0,VLOOKUP(A77,טבלאות!$J:$K,2,0),"")</f>
        <v/>
      </c>
      <c r="L77" s="50" t="str">
        <f>IF(ISERROR(VLOOKUP(B77,טבלאות!$G:$H,2,0)),"",VLOOKUP(B77,טבלאות!$G:$H,2,0))</f>
        <v/>
      </c>
      <c r="M77" s="51" t="str">
        <f t="shared" si="1"/>
        <v/>
      </c>
    </row>
    <row r="78" spans="1:14" hidden="1">
      <c r="A78" s="113"/>
      <c r="B78" s="113"/>
      <c r="C78" s="113"/>
      <c r="D78" s="114"/>
      <c r="E78" s="113"/>
      <c r="F78" s="113"/>
      <c r="G78" s="113"/>
      <c r="H78" s="113"/>
      <c r="I78" s="114"/>
      <c r="K78" t="str">
        <f>IF(A78&gt;0,VLOOKUP(A78,טבלאות!$J:$K,2,0),"")</f>
        <v/>
      </c>
      <c r="L78" s="50" t="str">
        <f>IF(ISERROR(VLOOKUP(B78,טבלאות!$G:$H,2,0)),"",VLOOKUP(B78,טבלאות!$G:$H,2,0))</f>
        <v/>
      </c>
      <c r="M78" s="51" t="str">
        <f t="shared" si="1"/>
        <v/>
      </c>
    </row>
    <row r="79" spans="1:14" hidden="1">
      <c r="A79" s="113"/>
      <c r="B79" s="113"/>
      <c r="C79" s="113"/>
      <c r="D79" s="114"/>
      <c r="E79" s="113"/>
      <c r="F79" s="113"/>
      <c r="G79" s="113"/>
      <c r="H79" s="113"/>
      <c r="I79" s="114"/>
      <c r="K79" t="str">
        <f>IF(A79&gt;0,VLOOKUP(A79,טבלאות!$J:$K,2,0),"")</f>
        <v/>
      </c>
      <c r="L79" s="50" t="str">
        <f>IF(ISERROR(VLOOKUP(B79,טבלאות!$G:$H,2,0)),"",VLOOKUP(B79,טבלאות!$G:$H,2,0))</f>
        <v/>
      </c>
      <c r="M79" s="51" t="str">
        <f t="shared" si="1"/>
        <v/>
      </c>
    </row>
    <row r="80" spans="1:14" hidden="1">
      <c r="A80" s="113"/>
      <c r="B80" s="113"/>
      <c r="C80" s="113"/>
      <c r="D80" s="114"/>
      <c r="E80" s="113"/>
      <c r="F80" s="113"/>
      <c r="G80" s="113"/>
      <c r="H80" s="113"/>
      <c r="I80" s="114"/>
      <c r="K80" t="str">
        <f>IF(A80&gt;0,VLOOKUP(A80,טבלאות!$J:$K,2,0),"")</f>
        <v/>
      </c>
      <c r="L80" s="50" t="str">
        <f>IF(ISERROR(VLOOKUP(B80,טבלאות!$G:$H,2,0)),"",VLOOKUP(B80,טבלאות!$G:$H,2,0))</f>
        <v/>
      </c>
      <c r="M80" s="51" t="str">
        <f t="shared" si="1"/>
        <v/>
      </c>
    </row>
    <row r="81" spans="1:13" hidden="1">
      <c r="A81" s="113"/>
      <c r="B81" s="113"/>
      <c r="C81" s="113"/>
      <c r="D81" s="114"/>
      <c r="E81" s="113"/>
      <c r="F81" s="113"/>
      <c r="G81" s="113"/>
      <c r="H81" s="113"/>
      <c r="I81" s="114"/>
      <c r="K81" t="str">
        <f>IF(A81&gt;0,VLOOKUP(A81,טבלאות!$J:$K,2,0),"")</f>
        <v/>
      </c>
      <c r="L81" s="50" t="str">
        <f>IF(ISERROR(VLOOKUP(B81,טבלאות!$G:$H,2,0)),"",VLOOKUP(B81,טבלאות!$G:$H,2,0))</f>
        <v/>
      </c>
      <c r="M81" s="51" t="str">
        <f t="shared" si="1"/>
        <v/>
      </c>
    </row>
    <row r="82" spans="1:13" hidden="1">
      <c r="A82" s="113"/>
      <c r="B82" s="113"/>
      <c r="C82" s="113"/>
      <c r="D82" s="114"/>
      <c r="E82" s="113"/>
      <c r="F82" s="113"/>
      <c r="G82" s="113"/>
      <c r="H82" s="113"/>
      <c r="I82" s="114"/>
      <c r="K82" t="str">
        <f>IF(A82&gt;0,VLOOKUP(A82,טבלאות!$J:$K,2,0),"")</f>
        <v/>
      </c>
      <c r="L82" s="50" t="str">
        <f>IF(ISERROR(VLOOKUP(B82,טבלאות!$G:$H,2,0)),"",VLOOKUP(B82,טבלאות!$G:$H,2,0))</f>
        <v/>
      </c>
      <c r="M82" s="51" t="str">
        <f t="shared" si="1"/>
        <v/>
      </c>
    </row>
    <row r="83" spans="1:13" hidden="1">
      <c r="A83" s="113"/>
      <c r="B83" s="113"/>
      <c r="C83" s="113"/>
      <c r="D83" s="114"/>
      <c r="E83" s="113"/>
      <c r="F83" s="113"/>
      <c r="G83" s="113"/>
      <c r="H83" s="113"/>
      <c r="I83" s="114"/>
      <c r="K83" t="str">
        <f>IF(A83&gt;0,VLOOKUP(A83,טבלאות!$J:$K,2,0),"")</f>
        <v/>
      </c>
      <c r="L83" s="50" t="str">
        <f>IF(ISERROR(VLOOKUP(B83,טבלאות!$G:$H,2,0)),"",VLOOKUP(B83,טבלאות!$G:$H,2,0))</f>
        <v/>
      </c>
      <c r="M83" s="51" t="str">
        <f t="shared" si="1"/>
        <v/>
      </c>
    </row>
    <row r="84" spans="1:13" hidden="1">
      <c r="A84" s="113"/>
      <c r="B84" s="113"/>
      <c r="C84" s="113"/>
      <c r="D84" s="114"/>
      <c r="E84" s="113"/>
      <c r="F84" s="113"/>
      <c r="G84" s="113"/>
      <c r="H84" s="113"/>
      <c r="I84" s="114"/>
      <c r="K84" t="str">
        <f>IF(A84&gt;0,VLOOKUP(A84,טבלאות!$J:$K,2,0),"")</f>
        <v/>
      </c>
      <c r="L84" s="50" t="str">
        <f>IF(ISERROR(VLOOKUP(B84,טבלאות!$G:$H,2,0)),"",VLOOKUP(B84,טבלאות!$G:$H,2,0))</f>
        <v/>
      </c>
      <c r="M84" s="51" t="str">
        <f t="shared" si="1"/>
        <v/>
      </c>
    </row>
    <row r="85" spans="1:13" hidden="1">
      <c r="A85" s="113"/>
      <c r="B85" s="113"/>
      <c r="C85" s="113"/>
      <c r="D85" s="114"/>
      <c r="E85" s="113"/>
      <c r="F85" s="113"/>
      <c r="G85" s="113"/>
      <c r="H85" s="113"/>
      <c r="I85" s="114"/>
      <c r="K85" t="str">
        <f>IF(A85&gt;0,VLOOKUP(A85,טבלאות!$J:$K,2,0),"")</f>
        <v/>
      </c>
      <c r="L85" s="50" t="str">
        <f>IF(ISERROR(VLOOKUP(B85,טבלאות!$G:$H,2,0)),"",VLOOKUP(B85,טבלאות!$G:$H,2,0))</f>
        <v/>
      </c>
      <c r="M85" s="51" t="str">
        <f t="shared" si="1"/>
        <v/>
      </c>
    </row>
    <row r="86" spans="1:13" hidden="1">
      <c r="A86" s="113"/>
      <c r="B86" s="113"/>
      <c r="C86" s="113"/>
      <c r="D86" s="114"/>
      <c r="E86" s="113"/>
      <c r="F86" s="113"/>
      <c r="G86" s="113"/>
      <c r="H86" s="113"/>
      <c r="I86" s="114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 t="shared" si="1"/>
        <v/>
      </c>
    </row>
    <row r="87" spans="1:13" hidden="1">
      <c r="A87" s="113"/>
      <c r="B87" s="113"/>
      <c r="C87" s="113"/>
      <c r="D87" s="114"/>
      <c r="E87" s="113"/>
      <c r="F87" s="113"/>
      <c r="G87" s="113"/>
      <c r="H87" s="113"/>
      <c r="I87" s="114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1"/>
        <v/>
      </c>
    </row>
    <row r="88" spans="1:13" hidden="1">
      <c r="A88" s="113"/>
      <c r="B88" s="113"/>
      <c r="C88" s="113"/>
      <c r="D88" s="114"/>
      <c r="E88" s="113"/>
      <c r="F88" s="113"/>
      <c r="G88" s="113"/>
      <c r="H88" s="113"/>
      <c r="I88" s="114"/>
      <c r="J88" s="108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1"/>
        <v/>
      </c>
    </row>
    <row r="89" spans="1:13" hidden="1">
      <c r="A89" s="113"/>
      <c r="B89" s="113"/>
      <c r="C89" s="113"/>
      <c r="D89" s="114"/>
      <c r="E89" s="113"/>
      <c r="F89" s="113"/>
      <c r="G89" s="113"/>
      <c r="H89" s="113"/>
      <c r="I89" s="114"/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1"/>
        <v/>
      </c>
    </row>
    <row r="90" spans="1:13" hidden="1">
      <c r="A90" s="113"/>
      <c r="B90" s="113"/>
      <c r="C90" s="113"/>
      <c r="D90" s="114"/>
      <c r="E90" s="113"/>
      <c r="F90" s="113"/>
      <c r="G90" s="113"/>
      <c r="H90" s="113"/>
      <c r="I90" s="114"/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1"/>
        <v/>
      </c>
    </row>
    <row r="91" spans="1:13" hidden="1">
      <c r="A91" s="113"/>
      <c r="B91" s="113"/>
      <c r="C91" s="113"/>
      <c r="D91" s="115"/>
      <c r="E91" s="113"/>
      <c r="F91" s="113"/>
      <c r="G91" s="113"/>
      <c r="H91" s="113"/>
      <c r="I91" s="114"/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1"/>
        <v/>
      </c>
    </row>
    <row r="92" spans="1:13" hidden="1">
      <c r="A92" s="113"/>
      <c r="B92" s="113"/>
      <c r="C92" s="113"/>
      <c r="D92" s="114"/>
      <c r="E92" s="113"/>
      <c r="F92" s="113"/>
      <c r="G92" s="113"/>
      <c r="H92" s="113"/>
      <c r="I92" s="114"/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1"/>
        <v/>
      </c>
    </row>
    <row r="93" spans="1:13" hidden="1">
      <c r="A93" s="113"/>
      <c r="B93" s="113"/>
      <c r="C93" s="113"/>
      <c r="D93" s="114"/>
      <c r="E93" s="113"/>
      <c r="F93" s="113"/>
      <c r="G93" s="113"/>
      <c r="H93" s="113"/>
      <c r="I93" s="114"/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1"/>
        <v/>
      </c>
    </row>
    <row r="94" spans="1:13" hidden="1">
      <c r="A94" s="113"/>
      <c r="B94" s="113"/>
      <c r="C94" s="113"/>
      <c r="D94" s="114"/>
      <c r="E94" s="113"/>
      <c r="F94" s="113"/>
      <c r="G94" s="113"/>
      <c r="H94" s="113"/>
      <c r="I94" s="114"/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1"/>
        <v/>
      </c>
    </row>
    <row r="95" spans="1:13" hidden="1">
      <c r="A95" s="113"/>
      <c r="B95" s="113"/>
      <c r="C95" s="113"/>
      <c r="D95" s="114"/>
      <c r="E95" s="113"/>
      <c r="F95" s="113"/>
      <c r="G95" s="113"/>
      <c r="H95" s="113"/>
      <c r="I95" s="114"/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1"/>
        <v/>
      </c>
    </row>
    <row r="96" spans="1:13" hidden="1">
      <c r="A96" s="113"/>
      <c r="B96" s="113"/>
      <c r="C96" s="113"/>
      <c r="D96" s="114"/>
      <c r="E96" s="113"/>
      <c r="F96" s="113"/>
      <c r="G96" s="113"/>
      <c r="H96" s="113"/>
      <c r="I96" s="114"/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1"/>
        <v/>
      </c>
    </row>
    <row r="97" spans="1:13" hidden="1">
      <c r="A97" s="113"/>
      <c r="B97" s="113"/>
      <c r="C97" s="113"/>
      <c r="D97" s="114"/>
      <c r="E97" s="113"/>
      <c r="F97" s="113"/>
      <c r="G97" s="113"/>
      <c r="H97" s="113"/>
      <c r="I97" s="114"/>
      <c r="K97" t="str">
        <f>IF(A97&gt;0,VLOOKUP(A97,טבלאות!$J:$K,2,0),"")</f>
        <v/>
      </c>
      <c r="L97" s="50" t="str">
        <f>IF(ISERROR(VLOOKUP(B97,טבלאות!$G:$H,2,0)),"",VLOOKUP(B97,טבלאות!$G:$H,2,0))</f>
        <v/>
      </c>
      <c r="M97" s="51" t="str">
        <f t="shared" si="1"/>
        <v/>
      </c>
    </row>
    <row r="98" spans="1:13" hidden="1">
      <c r="A98" s="113"/>
      <c r="B98" s="113"/>
      <c r="C98" s="113"/>
      <c r="D98" s="114"/>
      <c r="E98" s="113"/>
      <c r="F98" s="113"/>
      <c r="G98" s="113"/>
      <c r="H98" s="113"/>
      <c r="I98" s="114"/>
      <c r="K98" t="str">
        <f>IF(A98&gt;0,VLOOKUP(A98,טבלאות!$J:$K,2,0),"")</f>
        <v/>
      </c>
      <c r="L98" s="50" t="str">
        <f>IF(ISERROR(VLOOKUP(B98,טבלאות!$G:$H,2,0)),"",VLOOKUP(B98,טבלאות!$G:$H,2,0))</f>
        <v/>
      </c>
      <c r="M98" s="51" t="str">
        <f t="shared" si="1"/>
        <v/>
      </c>
    </row>
    <row r="99" spans="1:13" hidden="1">
      <c r="A99" s="113"/>
      <c r="B99" s="113"/>
      <c r="C99" s="113"/>
      <c r="D99" s="114"/>
      <c r="E99" s="113"/>
      <c r="F99" s="113"/>
      <c r="G99" s="113"/>
      <c r="H99" s="113"/>
      <c r="I99" s="114"/>
      <c r="K99" t="str">
        <f>IF(A99&gt;0,VLOOKUP(A99,טבלאות!$J:$K,2,0),"")</f>
        <v/>
      </c>
      <c r="L99" s="50" t="str">
        <f>IF(ISERROR(VLOOKUP(B99,טבלאות!$G:$H,2,0)),"",VLOOKUP(B99,טבלאות!$G:$H,2,0))</f>
        <v/>
      </c>
      <c r="M99" s="51" t="str">
        <f t="shared" si="1"/>
        <v/>
      </c>
    </row>
    <row r="100" spans="1:13" hidden="1">
      <c r="A100" s="113"/>
      <c r="B100" s="113"/>
      <c r="C100" s="113"/>
      <c r="D100" s="114"/>
      <c r="E100" s="113"/>
      <c r="F100" s="113"/>
      <c r="G100" s="113"/>
      <c r="H100" s="113"/>
      <c r="I100" s="114"/>
      <c r="K100" t="str">
        <f>IF(A100&gt;0,VLOOKUP(A100,טבלאות!$J:$K,2,0),"")</f>
        <v/>
      </c>
      <c r="L100" s="50" t="str">
        <f>IF(ISERROR(VLOOKUP(B100,טבלאות!$G:$H,2,0)),"",VLOOKUP(B100,טבלאות!$G:$H,2,0))</f>
        <v/>
      </c>
      <c r="M100" s="51" t="str">
        <f t="shared" si="1"/>
        <v/>
      </c>
    </row>
    <row r="101" spans="1:13" hidden="1">
      <c r="B101" s="113"/>
      <c r="C101" s="116"/>
      <c r="D101" s="109"/>
      <c r="E101" s="108"/>
      <c r="F101" s="108"/>
      <c r="G101" s="108"/>
      <c r="H101" s="113"/>
      <c r="I101" s="109"/>
      <c r="K101" t="str">
        <f>IF(A101&gt;0,VLOOKUP(A101,טבלאות!$J:$K,2,0),"")</f>
        <v/>
      </c>
      <c r="L101" s="50" t="str">
        <f>IF(ISERROR(VLOOKUP(B101,טבלאות!$G:$H,2,0)),"",VLOOKUP(B101,טבלאות!$G:$H,2,0))</f>
        <v/>
      </c>
      <c r="M101" s="51" t="str">
        <f t="shared" si="1"/>
        <v/>
      </c>
    </row>
    <row r="102" spans="1:13" hidden="1">
      <c r="B102" s="113"/>
      <c r="C102" s="116"/>
      <c r="D102" s="109"/>
      <c r="E102" s="108"/>
      <c r="F102" s="108"/>
      <c r="G102" s="108"/>
      <c r="H102" s="113"/>
      <c r="I102" s="109"/>
      <c r="K102" t="str">
        <f>IF(A102&gt;0,VLOOKUP(A102,טבלאות!$J:$K,2,0),"")</f>
        <v/>
      </c>
      <c r="L102" s="50" t="str">
        <f>IF(ISERROR(VLOOKUP(B102,טבלאות!$G:$H,2,0)),"",VLOOKUP(B102,טבלאות!$G:$H,2,0))</f>
        <v/>
      </c>
      <c r="M102" s="51" t="str">
        <f t="shared" si="1"/>
        <v/>
      </c>
    </row>
    <row r="103" spans="1:13" hidden="1">
      <c r="B103" s="113"/>
      <c r="C103" s="116"/>
      <c r="D103" s="109"/>
      <c r="E103" s="108"/>
      <c r="F103" s="108"/>
      <c r="G103" s="108"/>
      <c r="H103" s="113"/>
      <c r="I103" s="109"/>
      <c r="K103" t="str">
        <f>IF(A103&gt;0,VLOOKUP(A103,טבלאות!$J:$K,2,0),"")</f>
        <v/>
      </c>
      <c r="L103" s="50" t="str">
        <f>IF(ISERROR(VLOOKUP(B103,טבלאות!$G:$H,2,0)),"",VLOOKUP(B103,טבלאות!$G:$H,2,0))</f>
        <v/>
      </c>
      <c r="M103" s="51" t="str">
        <f t="shared" si="1"/>
        <v/>
      </c>
    </row>
    <row r="104" spans="1:13" hidden="1">
      <c r="B104" s="113"/>
      <c r="C104" s="116"/>
      <c r="D104" s="109"/>
      <c r="E104" s="108"/>
      <c r="F104" s="108"/>
      <c r="G104" s="108"/>
      <c r="H104" s="113"/>
      <c r="I104" s="109"/>
      <c r="K104" t="str">
        <f>IF(A104&gt;0,VLOOKUP(A104,טבלאות!$J:$K,2,0),"")</f>
        <v/>
      </c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1:13" hidden="1">
      <c r="B105" s="113"/>
      <c r="C105" s="116"/>
      <c r="D105" s="109"/>
      <c r="E105" s="108"/>
      <c r="F105" s="108"/>
      <c r="G105" s="108"/>
      <c r="H105" s="113"/>
      <c r="I105" s="109"/>
      <c r="K105" t="str">
        <f>IF(A105&gt;0,VLOOKUP(A105,טבלאות!$J:$K,2,0),"")</f>
        <v/>
      </c>
      <c r="L105" s="50" t="str">
        <f>IF(ISERROR(VLOOKUP(B105,טבלאות!$G:$H,2,0)),"",VLOOKUP(B105,טבלאות!$G:$H,2,0))</f>
        <v/>
      </c>
      <c r="M105" s="117" t="str">
        <f t="shared" si="1"/>
        <v/>
      </c>
    </row>
    <row r="106" spans="1:13" hidden="1">
      <c r="B106" s="113"/>
      <c r="C106" s="116"/>
      <c r="D106" s="109"/>
      <c r="E106" s="108"/>
      <c r="F106" s="108"/>
      <c r="G106" s="108"/>
      <c r="H106" s="113"/>
      <c r="I106" s="108"/>
      <c r="K106" t="str">
        <f>IF(A106&gt;0,VLOOKUP(A106,טבלאות!$J:$K,2,0),"")</f>
        <v/>
      </c>
      <c r="L106" s="50" t="str">
        <f>IF(ISERROR(VLOOKUP(B106,טבלאות!$G:$H,2,0)),"",VLOOKUP(B106,טבלאות!$G:$H,2,0))</f>
        <v/>
      </c>
      <c r="M106" s="117" t="str">
        <f t="shared" si="1"/>
        <v/>
      </c>
    </row>
    <row r="107" spans="1:13" hidden="1">
      <c r="B107" s="113"/>
      <c r="C107" s="116"/>
      <c r="D107" s="109"/>
      <c r="E107" s="108"/>
      <c r="F107" s="108"/>
      <c r="G107" s="108"/>
      <c r="H107" s="113"/>
      <c r="I107" s="108"/>
      <c r="K107" t="str">
        <f>IF(A107&gt;0,VLOOKUP(A107,טבלאות!$J:$K,2,0),"")</f>
        <v/>
      </c>
      <c r="L107" s="50" t="str">
        <f>IF(ISERROR(VLOOKUP(B107,טבלאות!$G:$H,2,0)),"",VLOOKUP(B107,טבלאות!$G:$H,2,0))</f>
        <v/>
      </c>
      <c r="M107" s="117" t="str">
        <f t="shared" si="1"/>
        <v/>
      </c>
    </row>
    <row r="108" spans="1:13" hidden="1">
      <c r="B108" s="113"/>
      <c r="C108" s="116"/>
      <c r="D108" s="109"/>
      <c r="E108" s="108"/>
      <c r="F108" s="108"/>
      <c r="G108" s="108"/>
      <c r="H108" s="113"/>
      <c r="I108" s="108"/>
      <c r="K108" t="str">
        <f>IF(A108&gt;0,VLOOKUP(A108,טבלאות!$J:$K,2,0),"")</f>
        <v/>
      </c>
      <c r="L108" s="50" t="str">
        <f>IF(ISERROR(VLOOKUP(B108,טבלאות!$G:$H,2,0)),"",VLOOKUP(B108,טבלאות!$G:$H,2,0))</f>
        <v/>
      </c>
      <c r="M108" s="117" t="str">
        <f t="shared" si="1"/>
        <v/>
      </c>
    </row>
    <row r="109" spans="1:13" hidden="1">
      <c r="B109" s="113"/>
      <c r="C109" s="116"/>
      <c r="D109" s="109"/>
      <c r="E109" s="108"/>
      <c r="F109" s="108"/>
      <c r="G109" s="108"/>
      <c r="H109" s="113"/>
      <c r="I109" s="108"/>
      <c r="K109" t="str">
        <f>IF(A109&gt;0,VLOOKUP(A109,טבלאות!$J:$K,2,0),"")</f>
        <v/>
      </c>
      <c r="L109" s="50" t="str">
        <f>IF(ISERROR(VLOOKUP(B109,טבלאות!$G:$H,2,0)),"",VLOOKUP(B109,טבלאות!$G:$H,2,0))</f>
        <v/>
      </c>
      <c r="M109" s="117" t="str">
        <f t="shared" si="1"/>
        <v/>
      </c>
    </row>
    <row r="110" spans="1:13" hidden="1">
      <c r="B110" s="113"/>
      <c r="C110" s="116"/>
      <c r="D110" s="109"/>
      <c r="E110" s="108"/>
      <c r="F110" s="108"/>
      <c r="G110" s="108"/>
      <c r="H110" s="113"/>
      <c r="I110" s="108"/>
      <c r="K110" t="str">
        <f>IF(A110&gt;0,VLOOKUP(A110,טבלאות!$J:$K,2,0),"")</f>
        <v/>
      </c>
      <c r="L110" s="50" t="str">
        <f>IF(ISERROR(VLOOKUP(B110,טבלאות!$G:$H,2,0)),"",VLOOKUP(B110,טבלאות!$G:$H,2,0))</f>
        <v/>
      </c>
      <c r="M110" s="117" t="str">
        <f t="shared" si="1"/>
        <v/>
      </c>
    </row>
    <row r="111" spans="1:13" hidden="1">
      <c r="B111" s="113"/>
      <c r="C111" s="116"/>
      <c r="D111" s="109"/>
      <c r="E111" s="108"/>
      <c r="F111" s="108"/>
      <c r="G111" s="108"/>
      <c r="H111" s="113"/>
      <c r="I111" s="108"/>
      <c r="K111" t="str">
        <f>IF(A111&gt;0,VLOOKUP(A111,טבלאות!$J:$K,2,0),"")</f>
        <v/>
      </c>
      <c r="L111" s="50" t="str">
        <f>IF(ISERROR(VLOOKUP(B111,טבלאות!$G:$H,2,0)),"",VLOOKUP(B111,טבלאות!$G:$H,2,0))</f>
        <v/>
      </c>
      <c r="M111" s="117" t="str">
        <f t="shared" si="1"/>
        <v/>
      </c>
    </row>
    <row r="112" spans="1:13" hidden="1">
      <c r="B112" s="113"/>
      <c r="C112" s="116"/>
      <c r="D112" s="109"/>
      <c r="E112" s="108"/>
      <c r="F112" s="108"/>
      <c r="G112" s="108"/>
      <c r="H112" s="113"/>
      <c r="I112" s="108"/>
      <c r="K112" t="str">
        <f>IF(A112&gt;0,VLOOKUP(A112,טבלאות!$J:$K,2,0),"")</f>
        <v/>
      </c>
      <c r="L112" s="50" t="str">
        <f>IF(ISERROR(VLOOKUP(B112,טבלאות!$G:$H,2,0)),"",VLOOKUP(B112,טבלאות!$G:$H,2,0))</f>
        <v/>
      </c>
      <c r="M112" s="117" t="str">
        <f t="shared" si="1"/>
        <v/>
      </c>
    </row>
    <row r="113" spans="2:13" hidden="1">
      <c r="B113" s="113"/>
      <c r="C113" s="116"/>
      <c r="D113" s="109"/>
      <c r="E113" s="108"/>
      <c r="F113" s="108"/>
      <c r="G113" s="108"/>
      <c r="H113" s="113"/>
      <c r="I113" s="108"/>
      <c r="K113" t="str">
        <f>IF(A113&gt;0,VLOOKUP(A113,טבלאות!$J:$K,2,0),"")</f>
        <v/>
      </c>
      <c r="L113" s="50" t="str">
        <f>IF(ISERROR(VLOOKUP(B113,טבלאות!$G:$H,2,0)),"",VLOOKUP(B113,טבלאות!$G:$H,2,0))</f>
        <v/>
      </c>
      <c r="M113" s="117" t="str">
        <f t="shared" si="1"/>
        <v/>
      </c>
    </row>
    <row r="114" spans="2:13" hidden="1">
      <c r="B114" s="113"/>
      <c r="C114" s="116"/>
      <c r="D114" s="109"/>
      <c r="E114" s="108"/>
      <c r="F114" s="108"/>
      <c r="G114" s="108"/>
      <c r="H114" s="113"/>
      <c r="I114" s="108"/>
      <c r="K114" t="str">
        <f>IF(A114&gt;0,VLOOKUP(A114,טבלאות!$J:$K,2,0),"")</f>
        <v/>
      </c>
      <c r="L114" s="50" t="str">
        <f>IF(ISERROR(VLOOKUP(B114,טבלאות!$G:$H,2,0)),"",VLOOKUP(B114,טבלאות!$G:$H,2,0))</f>
        <v/>
      </c>
      <c r="M114" s="117" t="str">
        <f t="shared" si="1"/>
        <v/>
      </c>
    </row>
    <row r="115" spans="2:13">
      <c r="C115" s="113"/>
    </row>
  </sheetData>
  <autoFilter ref="A1:N114" xr:uid="{00000000-0009-0000-0000-000008000000}">
    <filterColumn colId="11">
      <filters>
        <filter val="ביטוח"/>
      </filters>
    </filterColumn>
  </autoFilter>
  <conditionalFormatting sqref="L2:L114">
    <cfRule type="cellIs" dxfId="7" priority="1" operator="equal">
      <formula>""</formula>
    </cfRule>
  </conditionalFormatting>
  <dataValidations count="2">
    <dataValidation type="list" allowBlank="1" showInputMessage="1" showErrorMessage="1" sqref="L2:L114" xr:uid="{5021CAA2-C166-4A16-9314-D6891C8F039A}">
      <formula1>סוגי_הוצאות</formula1>
    </dataValidation>
    <dataValidation type="list" allowBlank="1" showInputMessage="1" showErrorMessage="1" sqref="K2:K114" xr:uid="{87033777-0D85-4B1E-8932-5812361896FD}">
      <formula1>סוג_כרטיס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G113"/>
  <sheetViews>
    <sheetView rightToLeft="1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L1" sqref="L1"/>
    </sheetView>
  </sheetViews>
  <sheetFormatPr defaultRowHeight="15"/>
  <cols>
    <col min="1" max="1" width="16.42578125" customWidth="1"/>
    <col min="2" max="2" width="22.140625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0" max="10" width="13" bestFit="1" customWidth="1"/>
    <col min="11" max="11" width="12.140625" style="73" customWidth="1"/>
    <col min="12" max="12" width="17" style="73" bestFit="1" customWidth="1"/>
    <col min="13" max="13" width="9.140625" style="73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 hidden="1">
      <c r="A2" s="135" t="s">
        <v>1355</v>
      </c>
      <c r="B2" s="135" t="s">
        <v>1241</v>
      </c>
      <c r="C2" s="135" t="s">
        <v>1574</v>
      </c>
      <c r="D2" s="174">
        <v>37</v>
      </c>
      <c r="E2" s="135" t="s">
        <v>1367</v>
      </c>
      <c r="F2" s="135" t="s">
        <v>1368</v>
      </c>
      <c r="G2" s="135" t="s">
        <v>1369</v>
      </c>
      <c r="H2" s="135" t="s">
        <v>1575</v>
      </c>
      <c r="I2" s="174">
        <v>37</v>
      </c>
      <c r="J2" s="102"/>
      <c r="K2" t="str">
        <f>IF(A2&gt;0,VLOOKUP(A2,טבלאות!$J:$K,2,0),"")</f>
        <v>אשראי מיכה</v>
      </c>
      <c r="L2" s="50" t="str">
        <f>IF(ISERROR(VLOOKUP(B2,טבלאות!$G:$H,2,0)),"",VLOOKUP(B2,טבלאות!$G:$H,2,0))</f>
        <v>מוצרי חשמל ותקשורת</v>
      </c>
      <c r="M2" s="51">
        <f t="shared" ref="M2:M65" si="0">IF(OR(L2="",L2="?"),"",IF(L2&gt;0,I2,""))</f>
        <v>37</v>
      </c>
    </row>
    <row r="3" spans="1:111" s="36" customFormat="1" ht="19.5" hidden="1" customHeight="1">
      <c r="A3" s="135" t="s">
        <v>1355</v>
      </c>
      <c r="B3" s="135" t="s">
        <v>942</v>
      </c>
      <c r="C3" s="135" t="s">
        <v>1576</v>
      </c>
      <c r="D3" s="174">
        <v>50</v>
      </c>
      <c r="E3" s="135" t="s">
        <v>1367</v>
      </c>
      <c r="F3" s="135" t="s">
        <v>1368</v>
      </c>
      <c r="G3" s="135" t="s">
        <v>1369</v>
      </c>
      <c r="H3" s="135" t="s">
        <v>1575</v>
      </c>
      <c r="I3" s="174">
        <v>50</v>
      </c>
      <c r="J3" s="102"/>
      <c r="K3" t="str">
        <f>IF(A3&gt;0,VLOOKUP(A3,טבלאות!$J:$K,2,0),"")</f>
        <v>אשראי מיכה</v>
      </c>
      <c r="L3" s="50" t="str">
        <f>IF(ISERROR(VLOOKUP(B3,טבלאות!$G:$H,2,0)),"",VLOOKUP(B3,טבלאות!$G:$H,2,0))</f>
        <v>רכב ותחבורה</v>
      </c>
      <c r="M3" s="51">
        <f t="shared" si="0"/>
        <v>50</v>
      </c>
    </row>
    <row r="4" spans="1:111" ht="15" hidden="1" customHeight="1">
      <c r="A4" s="135" t="s">
        <v>1355</v>
      </c>
      <c r="B4" s="135" t="s">
        <v>942</v>
      </c>
      <c r="C4" s="135" t="s">
        <v>1576</v>
      </c>
      <c r="D4" s="174">
        <v>29</v>
      </c>
      <c r="E4" s="135" t="s">
        <v>1367</v>
      </c>
      <c r="F4" s="135" t="s">
        <v>1368</v>
      </c>
      <c r="G4" s="135" t="s">
        <v>1369</v>
      </c>
      <c r="H4" s="135" t="s">
        <v>1575</v>
      </c>
      <c r="I4" s="174">
        <v>29</v>
      </c>
      <c r="J4" s="102"/>
      <c r="K4" t="str">
        <f>IF(A4&gt;0,VLOOKUP(A4,טבלאות!$J:$K,2,0),"")</f>
        <v>אשראי מיכה</v>
      </c>
      <c r="L4" s="50" t="str">
        <f>IF(ISERROR(VLOOKUP(B4,טבלאות!$G:$H,2,0)),"",VLOOKUP(B4,טבלאות!$G:$H,2,0))</f>
        <v>רכב ותחבורה</v>
      </c>
      <c r="M4" s="51">
        <f t="shared" si="0"/>
        <v>29</v>
      </c>
    </row>
    <row r="5" spans="1:111" ht="15" hidden="1" customHeight="1">
      <c r="A5" s="135" t="s">
        <v>1355</v>
      </c>
      <c r="B5" s="135" t="s">
        <v>358</v>
      </c>
      <c r="C5" s="135" t="s">
        <v>1577</v>
      </c>
      <c r="D5" s="174">
        <v>69.900000000000006</v>
      </c>
      <c r="E5" s="135" t="s">
        <v>1367</v>
      </c>
      <c r="F5" s="135" t="s">
        <v>1372</v>
      </c>
      <c r="G5" s="135" t="s">
        <v>1373</v>
      </c>
      <c r="H5" s="135" t="s">
        <v>1575</v>
      </c>
      <c r="I5" s="174">
        <v>69.900000000000006</v>
      </c>
      <c r="J5" s="102"/>
      <c r="K5" t="str">
        <f>IF(A5&gt;0,VLOOKUP(A5,טבלאות!$J:$K,2,0),"")</f>
        <v>אשראי מיכה</v>
      </c>
      <c r="L5" s="50" t="str">
        <f>IF(ISERROR(VLOOKUP(B5,טבלאות!$G:$H,2,0)),"",VLOOKUP(B5,טבלאות!$G:$H,2,0))</f>
        <v>מוצרי חשמל ותקשורת</v>
      </c>
      <c r="M5" s="51">
        <f t="shared" si="0"/>
        <v>69.900000000000006</v>
      </c>
    </row>
    <row r="6" spans="1:111" ht="20.25" hidden="1" customHeight="1">
      <c r="A6" s="135" t="s">
        <v>1355</v>
      </c>
      <c r="B6" s="135" t="s">
        <v>1437</v>
      </c>
      <c r="C6" s="135" t="s">
        <v>1577</v>
      </c>
      <c r="D6" s="174">
        <v>51.35</v>
      </c>
      <c r="E6" s="135" t="s">
        <v>1367</v>
      </c>
      <c r="F6" s="135" t="s">
        <v>1372</v>
      </c>
      <c r="G6" s="135" t="s">
        <v>1417</v>
      </c>
      <c r="H6" s="135" t="s">
        <v>1575</v>
      </c>
      <c r="I6" s="174">
        <v>51.35</v>
      </c>
      <c r="J6" s="102"/>
      <c r="K6" t="str">
        <f>IF(A6&gt;0,VLOOKUP(A6,טבלאות!$J:$K,2,0),"")</f>
        <v>אשראי מיכה</v>
      </c>
      <c r="L6" s="50" t="str">
        <f>IF(ISERROR(VLOOKUP(B6,טבלאות!$G:$H,2,0)),"",VLOOKUP(B6,טבלאות!$G:$H,2,0))</f>
        <v>מתנות ומזכרות</v>
      </c>
      <c r="M6" s="51">
        <f t="shared" si="0"/>
        <v>51.35</v>
      </c>
    </row>
    <row r="7" spans="1:111" ht="15.75" hidden="1" customHeight="1">
      <c r="A7" s="135" t="s">
        <v>1355</v>
      </c>
      <c r="B7" s="135" t="s">
        <v>638</v>
      </c>
      <c r="C7" s="135" t="s">
        <v>1577</v>
      </c>
      <c r="D7" s="174">
        <v>101.9</v>
      </c>
      <c r="E7" s="135" t="s">
        <v>1367</v>
      </c>
      <c r="F7" s="135" t="s">
        <v>1368</v>
      </c>
      <c r="G7" s="135" t="s">
        <v>1369</v>
      </c>
      <c r="H7" s="135" t="s">
        <v>1575</v>
      </c>
      <c r="I7" s="174">
        <v>101.9</v>
      </c>
      <c r="J7" s="102"/>
      <c r="K7" t="str">
        <f>IF(A7&gt;0,VLOOKUP(A7,טבלאות!$J:$K,2,0),"")</f>
        <v>אשראי מיכה</v>
      </c>
      <c r="L7" s="50" t="str">
        <f>IF(ISERROR(VLOOKUP(B7,טבלאות!$G:$H,2,0)),"",VLOOKUP(B7,טבלאות!$G:$H,2,0))</f>
        <v>מזון ומשקאות</v>
      </c>
      <c r="M7" s="51">
        <f t="shared" si="0"/>
        <v>101.9</v>
      </c>
    </row>
    <row r="8" spans="1:111" ht="15" hidden="1" customHeight="1">
      <c r="A8" s="135" t="s">
        <v>1355</v>
      </c>
      <c r="B8" s="135" t="s">
        <v>842</v>
      </c>
      <c r="C8" s="135" t="s">
        <v>1578</v>
      </c>
      <c r="D8" s="174">
        <v>300</v>
      </c>
      <c r="E8" s="135" t="s">
        <v>1367</v>
      </c>
      <c r="F8" s="135" t="s">
        <v>1368</v>
      </c>
      <c r="G8" s="135" t="s">
        <v>1369</v>
      </c>
      <c r="H8" s="135" t="s">
        <v>1575</v>
      </c>
      <c r="I8" s="174">
        <v>300</v>
      </c>
      <c r="J8" s="102"/>
      <c r="K8" t="str">
        <f>IF(A8&gt;0,VLOOKUP(A8,טבלאות!$J:$K,2,0),"")</f>
        <v>אשראי מיכה</v>
      </c>
      <c r="L8" s="50" t="str">
        <f>IF(ISERROR(VLOOKUP(B8,טבלאות!$G:$H,2,0)),"",VLOOKUP(B8,טבלאות!$G:$H,2,0))</f>
        <v>בריאות</v>
      </c>
      <c r="M8" s="51">
        <f t="shared" si="0"/>
        <v>300</v>
      </c>
    </row>
    <row r="9" spans="1:111" ht="15" hidden="1" customHeight="1">
      <c r="A9" s="135" t="s">
        <v>1355</v>
      </c>
      <c r="B9" s="135" t="s">
        <v>649</v>
      </c>
      <c r="C9" s="135" t="s">
        <v>1578</v>
      </c>
      <c r="D9" s="174">
        <v>72</v>
      </c>
      <c r="E9" s="135" t="s">
        <v>1367</v>
      </c>
      <c r="F9" s="135" t="s">
        <v>1368</v>
      </c>
      <c r="G9" s="135" t="s">
        <v>1369</v>
      </c>
      <c r="H9" s="135" t="s">
        <v>1575</v>
      </c>
      <c r="I9" s="174">
        <v>72</v>
      </c>
      <c r="J9" s="102"/>
      <c r="K9" t="str">
        <f>IF(A9&gt;0,VLOOKUP(A9,טבלאות!$J:$K,2,0),"")</f>
        <v>אשראי מיכה</v>
      </c>
      <c r="L9" s="50" t="str">
        <f>IF(ISERROR(VLOOKUP(B9,טבלאות!$G:$H,2,0)),"",VLOOKUP(B9,טבלאות!$G:$H,2,0))</f>
        <v>מזון ומשקאות</v>
      </c>
      <c r="M9" s="51">
        <f t="shared" si="0"/>
        <v>72</v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 hidden="1">
      <c r="A10" s="135" t="s">
        <v>1355</v>
      </c>
      <c r="B10" s="135" t="s">
        <v>966</v>
      </c>
      <c r="C10" s="135" t="s">
        <v>1578</v>
      </c>
      <c r="D10" s="174">
        <v>605.59</v>
      </c>
      <c r="E10" s="135" t="s">
        <v>1367</v>
      </c>
      <c r="F10" s="135" t="s">
        <v>1368</v>
      </c>
      <c r="G10" s="135" t="s">
        <v>1369</v>
      </c>
      <c r="H10" s="135" t="s">
        <v>1575</v>
      </c>
      <c r="I10" s="174">
        <v>605.59</v>
      </c>
      <c r="J10" s="102"/>
      <c r="K10" t="str">
        <f>IF(A10&gt;0,VLOOKUP(A10,טבלאות!$J:$K,2,0),"")</f>
        <v>אשראי מיכה</v>
      </c>
      <c r="L10" s="50" t="str">
        <f>IF(ISERROR(VLOOKUP(B10,טבלאות!$G:$H,2,0)),"",VLOOKUP(B10,טבלאות!$G:$H,2,0))</f>
        <v>מזון ומשקאות</v>
      </c>
      <c r="M10" s="51">
        <f t="shared" si="0"/>
        <v>605.59</v>
      </c>
    </row>
    <row r="11" spans="1:111" hidden="1">
      <c r="A11" s="135" t="s">
        <v>1355</v>
      </c>
      <c r="B11" s="135" t="s">
        <v>886</v>
      </c>
      <c r="C11" s="135" t="s">
        <v>1578</v>
      </c>
      <c r="D11" s="174">
        <v>80.14</v>
      </c>
      <c r="E11" s="135" t="s">
        <v>1367</v>
      </c>
      <c r="F11" s="135" t="s">
        <v>1368</v>
      </c>
      <c r="G11" s="135" t="s">
        <v>1369</v>
      </c>
      <c r="H11" s="135" t="s">
        <v>1575</v>
      </c>
      <c r="I11" s="174">
        <v>80.14</v>
      </c>
      <c r="J11" s="102"/>
      <c r="K11" t="str">
        <f>IF(A11&gt;0,VLOOKUP(A11,טבלאות!$J:$K,2,0),"")</f>
        <v>אשראי מיכה</v>
      </c>
      <c r="L11" s="50" t="str">
        <f>IF(ISERROR(VLOOKUP(B11,טבלאות!$G:$H,2,0)),"",VLOOKUP(B11,טבלאות!$G:$H,2,0))</f>
        <v>מזון ומשקאות</v>
      </c>
      <c r="M11" s="51">
        <f t="shared" si="0"/>
        <v>80.14</v>
      </c>
    </row>
    <row r="12" spans="1:111" hidden="1">
      <c r="A12" s="135" t="s">
        <v>764</v>
      </c>
      <c r="B12" s="135" t="s">
        <v>842</v>
      </c>
      <c r="C12" s="135" t="s">
        <v>1578</v>
      </c>
      <c r="D12" s="174">
        <v>300</v>
      </c>
      <c r="E12" s="135" t="s">
        <v>1367</v>
      </c>
      <c r="F12" s="135" t="s">
        <v>1368</v>
      </c>
      <c r="G12" s="135" t="s">
        <v>1369</v>
      </c>
      <c r="H12" s="135" t="s">
        <v>1575</v>
      </c>
      <c r="I12" s="174">
        <v>300</v>
      </c>
      <c r="J12" s="102"/>
      <c r="K12" t="str">
        <f>IF(A12&gt;0,VLOOKUP(A12,טבלאות!$J:$K,2,0),"")</f>
        <v>אשראי אורנה</v>
      </c>
      <c r="L12" s="50" t="str">
        <f>IF(ISERROR(VLOOKUP(B12,טבלאות!$G:$H,2,0)),"",VLOOKUP(B12,טבלאות!$G:$H,2,0))</f>
        <v>בריאות</v>
      </c>
      <c r="M12" s="51">
        <f t="shared" si="0"/>
        <v>300</v>
      </c>
    </row>
    <row r="13" spans="1:111" hidden="1">
      <c r="A13" s="135" t="s">
        <v>764</v>
      </c>
      <c r="B13" s="135" t="s">
        <v>440</v>
      </c>
      <c r="C13" s="135" t="s">
        <v>1578</v>
      </c>
      <c r="D13" s="174">
        <v>600</v>
      </c>
      <c r="E13" s="135" t="s">
        <v>1367</v>
      </c>
      <c r="F13" s="135" t="s">
        <v>1368</v>
      </c>
      <c r="G13" s="135" t="s">
        <v>1369</v>
      </c>
      <c r="H13" s="135" t="s">
        <v>1575</v>
      </c>
      <c r="I13" s="174">
        <v>600</v>
      </c>
      <c r="J13" s="102"/>
      <c r="K13" t="str">
        <f>IF(A13&gt;0,VLOOKUP(A13,טבלאות!$J:$K,2,0),"")</f>
        <v>אשראי אורנה</v>
      </c>
      <c r="L13" s="50" t="str">
        <f>IF(ISERROR(VLOOKUP(B13,טבלאות!$G:$H,2,0)),"",VLOOKUP(B13,טבלאות!$G:$H,2,0))</f>
        <v>ילדים</v>
      </c>
      <c r="M13" s="51">
        <f t="shared" si="0"/>
        <v>600</v>
      </c>
    </row>
    <row r="14" spans="1:111">
      <c r="A14" s="135" t="s">
        <v>1355</v>
      </c>
      <c r="B14" s="135" t="s">
        <v>1132</v>
      </c>
      <c r="C14" s="135" t="s">
        <v>1579</v>
      </c>
      <c r="D14" s="174">
        <v>81.16</v>
      </c>
      <c r="E14" s="135" t="s">
        <v>1367</v>
      </c>
      <c r="F14" s="135" t="s">
        <v>1368</v>
      </c>
      <c r="G14" s="135" t="s">
        <v>1375</v>
      </c>
      <c r="H14" s="135" t="s">
        <v>1575</v>
      </c>
      <c r="I14" s="174">
        <v>81.16</v>
      </c>
      <c r="J14" s="102"/>
      <c r="K14" t="str">
        <f>IF(A14&gt;0,VLOOKUP(A14,טבלאות!$J:$K,2,0),"")</f>
        <v>אשראי מיכה</v>
      </c>
      <c r="L14" s="50" t="str">
        <f>IF(ISERROR(VLOOKUP(B14,טבלאות!$G:$H,2,0)),"",VLOOKUP(B14,טבלאות!$G:$H,2,0))</f>
        <v>ביטוח</v>
      </c>
      <c r="M14" s="51">
        <f t="shared" si="0"/>
        <v>81.16</v>
      </c>
    </row>
    <row r="15" spans="1:111" hidden="1">
      <c r="A15" s="135" t="s">
        <v>1355</v>
      </c>
      <c r="B15" s="135" t="s">
        <v>86</v>
      </c>
      <c r="C15" s="135" t="s">
        <v>1579</v>
      </c>
      <c r="D15" s="174">
        <v>131.82</v>
      </c>
      <c r="E15" s="135" t="s">
        <v>1367</v>
      </c>
      <c r="F15" s="135" t="s">
        <v>1368</v>
      </c>
      <c r="G15" s="135" t="s">
        <v>1375</v>
      </c>
      <c r="H15" s="135" t="s">
        <v>1575</v>
      </c>
      <c r="I15" s="174">
        <v>131.82</v>
      </c>
      <c r="J15" s="102"/>
      <c r="K15" t="str">
        <f>IF(A15&gt;0,VLOOKUP(A15,טבלאות!$J:$K,2,0),"")</f>
        <v>אשראי מיכה</v>
      </c>
      <c r="L15" s="50" t="str">
        <f>IF(ISERROR(VLOOKUP(B15,טבלאות!$G:$H,2,0)),"",VLOOKUP(B15,טבלאות!$G:$H,2,0))</f>
        <v>מוצרי חשמל ותקשורת</v>
      </c>
      <c r="M15" s="51">
        <f t="shared" si="0"/>
        <v>131.82</v>
      </c>
    </row>
    <row r="16" spans="1:111" hidden="1">
      <c r="A16" s="135" t="s">
        <v>764</v>
      </c>
      <c r="B16" s="135" t="s">
        <v>1250</v>
      </c>
      <c r="C16" s="135" t="s">
        <v>1579</v>
      </c>
      <c r="D16" s="174">
        <v>100</v>
      </c>
      <c r="E16" s="135" t="s">
        <v>1367</v>
      </c>
      <c r="F16" s="135" t="s">
        <v>1368</v>
      </c>
      <c r="G16" s="135" t="s">
        <v>1369</v>
      </c>
      <c r="H16" s="135" t="s">
        <v>1575</v>
      </c>
      <c r="I16" s="174">
        <v>100</v>
      </c>
      <c r="J16" s="102"/>
      <c r="K16" t="str">
        <f>IF(A16&gt;0,VLOOKUP(A16,טבלאות!$J:$K,2,0),"")</f>
        <v>אשראי אורנה</v>
      </c>
      <c r="L16" s="50" t="str">
        <f>IF(ISERROR(VLOOKUP(B16,טבלאות!$G:$H,2,0)),"",VLOOKUP(B16,טבלאות!$G:$H,2,0))</f>
        <v>בית וגן</v>
      </c>
      <c r="M16" s="51">
        <f t="shared" si="0"/>
        <v>100</v>
      </c>
    </row>
    <row r="17" spans="1:13" hidden="1">
      <c r="A17" s="135" t="s">
        <v>764</v>
      </c>
      <c r="B17" s="135" t="s">
        <v>95</v>
      </c>
      <c r="C17" s="135" t="s">
        <v>1579</v>
      </c>
      <c r="D17" s="174">
        <v>62.19</v>
      </c>
      <c r="E17" s="135" t="s">
        <v>1367</v>
      </c>
      <c r="F17" s="135" t="s">
        <v>1368</v>
      </c>
      <c r="G17" s="135" t="s">
        <v>1369</v>
      </c>
      <c r="H17" s="135" t="s">
        <v>1575</v>
      </c>
      <c r="I17" s="174">
        <v>62.19</v>
      </c>
      <c r="J17" s="102"/>
      <c r="K17" t="str">
        <f>IF(A17&gt;0,VLOOKUP(A17,טבלאות!$J:$K,2,0),"")</f>
        <v>אשראי אורנה</v>
      </c>
      <c r="L17" s="50" t="str">
        <f>IF(ISERROR(VLOOKUP(B17,טבלאות!$G:$H,2,0)),"",VLOOKUP(B17,טבלאות!$G:$H,2,0))</f>
        <v>בריאות</v>
      </c>
      <c r="M17" s="51">
        <f t="shared" si="0"/>
        <v>62.19</v>
      </c>
    </row>
    <row r="18" spans="1:13" hidden="1">
      <c r="A18" s="135" t="s">
        <v>764</v>
      </c>
      <c r="B18" s="135" t="s">
        <v>95</v>
      </c>
      <c r="C18" s="135" t="s">
        <v>1579</v>
      </c>
      <c r="D18" s="174">
        <v>26.3</v>
      </c>
      <c r="E18" s="135" t="s">
        <v>1367</v>
      </c>
      <c r="F18" s="135" t="s">
        <v>1368</v>
      </c>
      <c r="G18" s="135" t="s">
        <v>1369</v>
      </c>
      <c r="H18" s="135" t="s">
        <v>1575</v>
      </c>
      <c r="I18" s="174">
        <v>26.3</v>
      </c>
      <c r="J18" s="102"/>
      <c r="K18" t="str">
        <f>IF(A18&gt;0,VLOOKUP(A18,טבלאות!$J:$K,2,0),"")</f>
        <v>אשראי אורנה</v>
      </c>
      <c r="L18" s="50" t="str">
        <f>IF(ISERROR(VLOOKUP(B18,טבלאות!$G:$H,2,0)),"",VLOOKUP(B18,טבלאות!$G:$H,2,0))</f>
        <v>בריאות</v>
      </c>
      <c r="M18" s="51">
        <f t="shared" si="0"/>
        <v>26.3</v>
      </c>
    </row>
    <row r="19" spans="1:13" hidden="1">
      <c r="A19" s="135" t="s">
        <v>1355</v>
      </c>
      <c r="B19" s="135" t="s">
        <v>246</v>
      </c>
      <c r="C19" s="135" t="s">
        <v>1580</v>
      </c>
      <c r="D19" s="174">
        <v>30</v>
      </c>
      <c r="E19" s="135" t="s">
        <v>1367</v>
      </c>
      <c r="F19" s="135" t="s">
        <v>1372</v>
      </c>
      <c r="G19" s="135" t="s">
        <v>1581</v>
      </c>
      <c r="H19" s="135" t="s">
        <v>1575</v>
      </c>
      <c r="I19" s="174">
        <v>30</v>
      </c>
      <c r="J19" s="102"/>
      <c r="K19" t="str">
        <f>IF(A19&gt;0,VLOOKUP(A19,טבלאות!$J:$K,2,0),"")</f>
        <v>אשראי מיכה</v>
      </c>
      <c r="L19" s="50" t="str">
        <f>IF(ISERROR(VLOOKUP(B19,טבלאות!$G:$H,2,0)),"",VLOOKUP(B19,טבלאות!$G:$H,2,0))</f>
        <v>חוגים</v>
      </c>
      <c r="M19" s="51">
        <f t="shared" si="0"/>
        <v>30</v>
      </c>
    </row>
    <row r="20" spans="1:13" hidden="1">
      <c r="A20" s="135" t="s">
        <v>1355</v>
      </c>
      <c r="B20" s="135" t="s">
        <v>1026</v>
      </c>
      <c r="C20" s="135" t="s">
        <v>1580</v>
      </c>
      <c r="D20" s="174">
        <v>494.53</v>
      </c>
      <c r="E20" s="135" t="s">
        <v>1367</v>
      </c>
      <c r="F20" s="135" t="s">
        <v>1368</v>
      </c>
      <c r="G20" s="135" t="s">
        <v>1375</v>
      </c>
      <c r="H20" s="135" t="s">
        <v>1575</v>
      </c>
      <c r="I20" s="174">
        <v>494.53</v>
      </c>
      <c r="J20" s="102"/>
      <c r="K20" t="str">
        <f>IF(A20&gt;0,VLOOKUP(A20,טבלאות!$J:$K,2,0),"")</f>
        <v>אשראי מיכה</v>
      </c>
      <c r="L20" s="50" t="str">
        <f>IF(ISERROR(VLOOKUP(B20,טבלאות!$G:$H,2,0)),"",VLOOKUP(B20,טבלאות!$G:$H,2,0))</f>
        <v>רכב ותחבורה</v>
      </c>
      <c r="M20" s="51">
        <f t="shared" si="0"/>
        <v>494.53</v>
      </c>
    </row>
    <row r="21" spans="1:13" hidden="1">
      <c r="A21" s="135" t="s">
        <v>1355</v>
      </c>
      <c r="B21" s="135" t="s">
        <v>1094</v>
      </c>
      <c r="C21" s="135" t="s">
        <v>1580</v>
      </c>
      <c r="D21" s="174">
        <v>37</v>
      </c>
      <c r="E21" s="135" t="s">
        <v>1367</v>
      </c>
      <c r="F21" s="135" t="s">
        <v>1368</v>
      </c>
      <c r="G21" s="135" t="s">
        <v>1369</v>
      </c>
      <c r="H21" s="135" t="s">
        <v>1575</v>
      </c>
      <c r="I21" s="174">
        <v>37</v>
      </c>
      <c r="J21" s="102"/>
      <c r="K21" t="str">
        <f>IF(A21&gt;0,VLOOKUP(A21,טבלאות!$J:$K,2,0),"")</f>
        <v>אשראי מיכה</v>
      </c>
      <c r="L21" s="50" t="str">
        <f>IF(ISERROR(VLOOKUP(B21,טבלאות!$G:$H,2,0)),"",VLOOKUP(B21,טבלאות!$G:$H,2,0))</f>
        <v>מזון ומשקאות</v>
      </c>
      <c r="M21" s="51">
        <f t="shared" si="0"/>
        <v>37</v>
      </c>
    </row>
    <row r="22" spans="1:13">
      <c r="A22" s="135" t="s">
        <v>764</v>
      </c>
      <c r="B22" s="135" t="s">
        <v>1098</v>
      </c>
      <c r="C22" s="135" t="s">
        <v>1580</v>
      </c>
      <c r="D22" s="174">
        <v>57.75</v>
      </c>
      <c r="E22" s="135" t="s">
        <v>1367</v>
      </c>
      <c r="F22" s="135" t="s">
        <v>1368</v>
      </c>
      <c r="G22" s="135" t="s">
        <v>1375</v>
      </c>
      <c r="H22" s="135" t="s">
        <v>1575</v>
      </c>
      <c r="I22" s="174">
        <v>57.75</v>
      </c>
      <c r="J22" s="102"/>
      <c r="K22" t="str">
        <f>IF(A22&gt;0,VLOOKUP(A22,טבלאות!$J:$K,2,0),"")</f>
        <v>אשראי אורנה</v>
      </c>
      <c r="L22" s="50" t="str">
        <f>IF(ISERROR(VLOOKUP(B22,טבלאות!$G:$H,2,0)),"",VLOOKUP(B22,טבלאות!$G:$H,2,0))</f>
        <v>ביטוח</v>
      </c>
      <c r="M22" s="51">
        <f t="shared" si="0"/>
        <v>57.75</v>
      </c>
    </row>
    <row r="23" spans="1:13" hidden="1">
      <c r="A23" s="135" t="s">
        <v>764</v>
      </c>
      <c r="B23" s="135" t="s">
        <v>246</v>
      </c>
      <c r="C23" s="135" t="s">
        <v>1582</v>
      </c>
      <c r="D23" s="174">
        <v>130</v>
      </c>
      <c r="E23" s="135" t="s">
        <v>1367</v>
      </c>
      <c r="F23" s="135" t="s">
        <v>1368</v>
      </c>
      <c r="G23" s="135" t="s">
        <v>1463</v>
      </c>
      <c r="H23" s="135" t="s">
        <v>1575</v>
      </c>
      <c r="I23" s="174">
        <v>130</v>
      </c>
      <c r="J23" s="102"/>
      <c r="K23" t="str">
        <f>IF(A23&gt;0,VLOOKUP(A23,טבלאות!$J:$K,2,0),"")</f>
        <v>אשראי אורנה</v>
      </c>
      <c r="L23" s="50" t="str">
        <f>IF(ISERROR(VLOOKUP(B23,טבלאות!$G:$H,2,0)),"",VLOOKUP(B23,טבלאות!$G:$H,2,0))</f>
        <v>חוגים</v>
      </c>
      <c r="M23" s="51">
        <f t="shared" si="0"/>
        <v>130</v>
      </c>
    </row>
    <row r="24" spans="1:13" hidden="1">
      <c r="A24" s="135" t="s">
        <v>1355</v>
      </c>
      <c r="B24" s="135" t="s">
        <v>76</v>
      </c>
      <c r="C24" s="135" t="s">
        <v>1583</v>
      </c>
      <c r="D24" s="174">
        <v>70.92</v>
      </c>
      <c r="E24" s="135" t="s">
        <v>1367</v>
      </c>
      <c r="F24" s="135" t="s">
        <v>1368</v>
      </c>
      <c r="G24" s="135" t="s">
        <v>1375</v>
      </c>
      <c r="H24" s="135" t="s">
        <v>1575</v>
      </c>
      <c r="I24" s="174">
        <v>70.92</v>
      </c>
      <c r="J24" s="102"/>
      <c r="K24" t="str">
        <f>IF(A24&gt;0,VLOOKUP(A24,טבלאות!$J:$K,2,0),"")</f>
        <v>אשראי מיכה</v>
      </c>
      <c r="L24" s="50" t="str">
        <f>IF(ISERROR(VLOOKUP(B24,טבלאות!$G:$H,2,0)),"",VLOOKUP(B24,טבלאות!$G:$H,2,0))</f>
        <v>בריאות</v>
      </c>
      <c r="M24" s="51">
        <f t="shared" si="0"/>
        <v>70.92</v>
      </c>
    </row>
    <row r="25" spans="1:13" hidden="1">
      <c r="A25" s="135" t="s">
        <v>1355</v>
      </c>
      <c r="B25" s="135" t="s">
        <v>1212</v>
      </c>
      <c r="C25" s="135" t="s">
        <v>1583</v>
      </c>
      <c r="D25" s="174">
        <v>130.09</v>
      </c>
      <c r="E25" s="135" t="s">
        <v>1367</v>
      </c>
      <c r="F25" s="135" t="s">
        <v>1368</v>
      </c>
      <c r="G25" s="135" t="s">
        <v>1375</v>
      </c>
      <c r="H25" s="135" t="s">
        <v>1575</v>
      </c>
      <c r="I25" s="174">
        <v>130.09</v>
      </c>
      <c r="J25" s="102"/>
      <c r="K25" t="str">
        <f>IF(A25&gt;0,VLOOKUP(A25,טבלאות!$J:$K,2,0),"")</f>
        <v>אשראי מיכה</v>
      </c>
      <c r="L25" s="50" t="str">
        <f>IF(ISERROR(VLOOKUP(B25,טבלאות!$G:$H,2,0)),"",VLOOKUP(B25,טבלאות!$G:$H,2,0))</f>
        <v>בריאות</v>
      </c>
      <c r="M25" s="51">
        <f t="shared" si="0"/>
        <v>130.09</v>
      </c>
    </row>
    <row r="26" spans="1:13" hidden="1">
      <c r="A26" s="135" t="s">
        <v>1355</v>
      </c>
      <c r="B26" s="135" t="s">
        <v>541</v>
      </c>
      <c r="C26" s="135" t="s">
        <v>1583</v>
      </c>
      <c r="D26" s="174">
        <v>90</v>
      </c>
      <c r="E26" s="135" t="s">
        <v>1367</v>
      </c>
      <c r="F26" s="135" t="s">
        <v>1368</v>
      </c>
      <c r="G26" s="135" t="s">
        <v>1369</v>
      </c>
      <c r="H26" s="135" t="s">
        <v>1575</v>
      </c>
      <c r="I26" s="174">
        <v>90</v>
      </c>
      <c r="J26" s="102"/>
      <c r="K26" t="str">
        <f>IF(A26&gt;0,VLOOKUP(A26,טבלאות!$J:$K,2,0),"")</f>
        <v>אשראי מיכה</v>
      </c>
      <c r="L26" s="50" t="str">
        <f>IF(ISERROR(VLOOKUP(B26,טבלאות!$G:$H,2,0)),"",VLOOKUP(B26,טבלאות!$G:$H,2,0))</f>
        <v>רכב ותחבורה</v>
      </c>
      <c r="M26" s="51">
        <f t="shared" si="0"/>
        <v>90</v>
      </c>
    </row>
    <row r="27" spans="1:13" hidden="1">
      <c r="A27" s="135" t="s">
        <v>1355</v>
      </c>
      <c r="B27" s="135" t="s">
        <v>649</v>
      </c>
      <c r="C27" s="135" t="s">
        <v>1583</v>
      </c>
      <c r="D27" s="174">
        <v>72</v>
      </c>
      <c r="E27" s="135" t="s">
        <v>1367</v>
      </c>
      <c r="F27" s="135" t="s">
        <v>1368</v>
      </c>
      <c r="G27" s="135" t="s">
        <v>1369</v>
      </c>
      <c r="H27" s="135" t="s">
        <v>1575</v>
      </c>
      <c r="I27" s="174">
        <v>72</v>
      </c>
      <c r="J27" s="102"/>
      <c r="K27" t="str">
        <f>IF(A27&gt;0,VLOOKUP(A27,טבלאות!$J:$K,2,0),"")</f>
        <v>אשראי מיכה</v>
      </c>
      <c r="L27" s="50" t="str">
        <f>IF(ISERROR(VLOOKUP(B27,טבלאות!$G:$H,2,0)),"",VLOOKUP(B27,טבלאות!$G:$H,2,0))</f>
        <v>מזון ומשקאות</v>
      </c>
      <c r="M27" s="51">
        <f t="shared" si="0"/>
        <v>72</v>
      </c>
    </row>
    <row r="28" spans="1:13" hidden="1">
      <c r="A28" s="135" t="s">
        <v>764</v>
      </c>
      <c r="B28" s="135" t="s">
        <v>137</v>
      </c>
      <c r="C28" s="135" t="s">
        <v>1583</v>
      </c>
      <c r="D28" s="174">
        <v>202.86</v>
      </c>
      <c r="E28" s="135" t="s">
        <v>1367</v>
      </c>
      <c r="F28" s="135" t="s">
        <v>1368</v>
      </c>
      <c r="G28" s="135" t="s">
        <v>1369</v>
      </c>
      <c r="H28" s="135" t="s">
        <v>1575</v>
      </c>
      <c r="I28" s="174">
        <v>202.86</v>
      </c>
      <c r="J28" s="102"/>
      <c r="K28" t="str">
        <f>IF(A28&gt;0,VLOOKUP(A28,טבלאות!$J:$K,2,0),"")</f>
        <v>אשראי אורנה</v>
      </c>
      <c r="L28" s="50" t="str">
        <f>IF(ISERROR(VLOOKUP(B28,טבלאות!$G:$H,2,0)),"",VLOOKUP(B28,טבלאות!$G:$H,2,0))</f>
        <v>רכב ותחבורה</v>
      </c>
      <c r="M28" s="51">
        <f t="shared" si="0"/>
        <v>202.86</v>
      </c>
    </row>
    <row r="29" spans="1:13" hidden="1">
      <c r="A29" s="135" t="s">
        <v>1355</v>
      </c>
      <c r="B29" s="135" t="s">
        <v>1584</v>
      </c>
      <c r="C29" s="135" t="s">
        <v>1585</v>
      </c>
      <c r="D29" s="174">
        <v>199.9</v>
      </c>
      <c r="E29" s="135" t="s">
        <v>1367</v>
      </c>
      <c r="F29" s="135" t="s">
        <v>1372</v>
      </c>
      <c r="G29" s="135" t="s">
        <v>1586</v>
      </c>
      <c r="H29" s="135" t="s">
        <v>1575</v>
      </c>
      <c r="I29" s="174">
        <v>199.9</v>
      </c>
      <c r="J29" s="102"/>
      <c r="K29" t="str">
        <f>IF(A29&gt;0,VLOOKUP(A29,טבלאות!$J:$K,2,0),"")</f>
        <v>אשראי מיכה</v>
      </c>
      <c r="L29" s="50" t="str">
        <f>IF(ISERROR(VLOOKUP(B29,טבלאות!$G:$H,2,0)),"",VLOOKUP(B29,טבלאות!$G:$H,2,0))</f>
        <v>ילדים</v>
      </c>
      <c r="M29" s="51">
        <f t="shared" si="0"/>
        <v>199.9</v>
      </c>
    </row>
    <row r="30" spans="1:13" hidden="1">
      <c r="A30" s="135" t="s">
        <v>764</v>
      </c>
      <c r="B30" s="135" t="s">
        <v>940</v>
      </c>
      <c r="C30" s="135" t="s">
        <v>1585</v>
      </c>
      <c r="D30" s="174">
        <v>500</v>
      </c>
      <c r="E30" s="135" t="s">
        <v>1367</v>
      </c>
      <c r="F30" s="135" t="s">
        <v>1372</v>
      </c>
      <c r="G30" s="135" t="s">
        <v>1484</v>
      </c>
      <c r="H30" s="135" t="s">
        <v>1575</v>
      </c>
      <c r="I30" s="174">
        <v>500</v>
      </c>
      <c r="J30" s="102"/>
      <c r="K30" t="str">
        <f>IF(A30&gt;0,VLOOKUP(A30,טבלאות!$J:$K,2,0),"")</f>
        <v>אשראי אורנה</v>
      </c>
      <c r="L30" s="50" t="str">
        <f>IF(ISERROR(VLOOKUP(B30,טבלאות!$G:$H,2,0)),"",VLOOKUP(B30,טבלאות!$G:$H,2,0))</f>
        <v>מתנות ומזכרות</v>
      </c>
      <c r="M30" s="51">
        <f t="shared" si="0"/>
        <v>500</v>
      </c>
    </row>
    <row r="31" spans="1:13" hidden="1">
      <c r="A31" s="135" t="s">
        <v>1355</v>
      </c>
      <c r="B31" s="135" t="s">
        <v>886</v>
      </c>
      <c r="C31" s="135" t="s">
        <v>1587</v>
      </c>
      <c r="D31" s="174">
        <v>82.22</v>
      </c>
      <c r="E31" s="135" t="s">
        <v>1367</v>
      </c>
      <c r="F31" s="135" t="s">
        <v>1368</v>
      </c>
      <c r="G31" s="135" t="s">
        <v>1369</v>
      </c>
      <c r="H31" s="135" t="s">
        <v>1575</v>
      </c>
      <c r="I31" s="174">
        <v>82.22</v>
      </c>
      <c r="J31" s="102"/>
      <c r="K31" t="str">
        <f>IF(A31&gt;0,VLOOKUP(A31,טבלאות!$J:$K,2,0),"")</f>
        <v>אשראי מיכה</v>
      </c>
      <c r="L31" s="50" t="str">
        <f>IF(ISERROR(VLOOKUP(B31,טבלאות!$G:$H,2,0)),"",VLOOKUP(B31,טבלאות!$G:$H,2,0))</f>
        <v>מזון ומשקאות</v>
      </c>
      <c r="M31" s="51">
        <f t="shared" si="0"/>
        <v>82.22</v>
      </c>
    </row>
    <row r="32" spans="1:13" hidden="1">
      <c r="A32" s="135" t="s">
        <v>1355</v>
      </c>
      <c r="B32" s="135" t="s">
        <v>518</v>
      </c>
      <c r="C32" s="135" t="s">
        <v>1588</v>
      </c>
      <c r="D32" s="174">
        <v>267.94</v>
      </c>
      <c r="E32" s="135" t="s">
        <v>1367</v>
      </c>
      <c r="F32" s="135" t="s">
        <v>1368</v>
      </c>
      <c r="G32" s="135" t="s">
        <v>1369</v>
      </c>
      <c r="H32" s="135" t="s">
        <v>1575</v>
      </c>
      <c r="I32" s="174">
        <v>267.94</v>
      </c>
      <c r="J32" s="102"/>
      <c r="K32" t="str">
        <f>IF(A32&gt;0,VLOOKUP(A32,טבלאות!$J:$K,2,0),"")</f>
        <v>אשראי מיכה</v>
      </c>
      <c r="L32" s="50" t="str">
        <f>IF(ISERROR(VLOOKUP(B32,טבלאות!$G:$H,2,0)),"",VLOOKUP(B32,טבלאות!$G:$H,2,0))</f>
        <v>מזון ומשקאות</v>
      </c>
      <c r="M32" s="51">
        <f t="shared" si="0"/>
        <v>267.94</v>
      </c>
    </row>
    <row r="33" spans="1:13" hidden="1">
      <c r="A33" s="135" t="s">
        <v>1355</v>
      </c>
      <c r="B33" s="135" t="s">
        <v>1129</v>
      </c>
      <c r="C33" s="135" t="s">
        <v>1588</v>
      </c>
      <c r="D33" s="174">
        <v>56.68</v>
      </c>
      <c r="E33" s="135" t="s">
        <v>1367</v>
      </c>
      <c r="F33" s="135" t="s">
        <v>1368</v>
      </c>
      <c r="G33" s="135" t="s">
        <v>1369</v>
      </c>
      <c r="H33" s="135" t="s">
        <v>1575</v>
      </c>
      <c r="I33" s="174">
        <v>56.68</v>
      </c>
      <c r="J33" s="102"/>
      <c r="K33" t="str">
        <f>IF(A33&gt;0,VLOOKUP(A33,טבלאות!$J:$K,2,0),"")</f>
        <v>אשראי מיכה</v>
      </c>
      <c r="L33" s="50" t="str">
        <f>IF(ISERROR(VLOOKUP(B33,טבלאות!$G:$H,2,0)),"",VLOOKUP(B33,טבלאות!$G:$H,2,0))</f>
        <v>בריאות</v>
      </c>
      <c r="M33" s="51">
        <f t="shared" si="0"/>
        <v>56.68</v>
      </c>
    </row>
    <row r="34" spans="1:13" hidden="1">
      <c r="A34" s="135" t="s">
        <v>1355</v>
      </c>
      <c r="B34" s="135" t="s">
        <v>1101</v>
      </c>
      <c r="C34" s="135" t="s">
        <v>1588</v>
      </c>
      <c r="D34" s="174">
        <v>6.2</v>
      </c>
      <c r="E34" s="135" t="s">
        <v>1367</v>
      </c>
      <c r="F34" s="135" t="s">
        <v>1368</v>
      </c>
      <c r="G34" s="135" t="s">
        <v>1369</v>
      </c>
      <c r="H34" s="135" t="s">
        <v>1575</v>
      </c>
      <c r="I34" s="174">
        <v>6.2</v>
      </c>
      <c r="J34" s="102"/>
      <c r="K34" t="str">
        <f>IF(A34&gt;0,VLOOKUP(A34,טבלאות!$J:$K,2,0),"")</f>
        <v>אשראי מיכה</v>
      </c>
      <c r="L34" s="50" t="str">
        <f>IF(ISERROR(VLOOKUP(B34,טבלאות!$G:$H,2,0)),"",VLOOKUP(B34,טבלאות!$G:$H,2,0))</f>
        <v>מזון ומשקאות</v>
      </c>
      <c r="M34" s="51">
        <f t="shared" si="0"/>
        <v>6.2</v>
      </c>
    </row>
    <row r="35" spans="1:13" hidden="1">
      <c r="A35" s="135" t="s">
        <v>1355</v>
      </c>
      <c r="B35" s="135" t="s">
        <v>638</v>
      </c>
      <c r="C35" s="135" t="s">
        <v>1588</v>
      </c>
      <c r="D35" s="174">
        <v>57.79</v>
      </c>
      <c r="E35" s="135" t="s">
        <v>1367</v>
      </c>
      <c r="F35" s="135" t="s">
        <v>1368</v>
      </c>
      <c r="G35" s="135" t="s">
        <v>1369</v>
      </c>
      <c r="H35" s="135" t="s">
        <v>1575</v>
      </c>
      <c r="I35" s="174">
        <v>57.79</v>
      </c>
      <c r="J35" s="102"/>
      <c r="K35" t="str">
        <f>IF(A35&gt;0,VLOOKUP(A35,טבלאות!$J:$K,2,0),"")</f>
        <v>אשראי מיכה</v>
      </c>
      <c r="L35" s="50" t="str">
        <f>IF(ISERROR(VLOOKUP(B35,טבלאות!$G:$H,2,0)),"",VLOOKUP(B35,טבלאות!$G:$H,2,0))</f>
        <v>מזון ומשקאות</v>
      </c>
      <c r="M35" s="51">
        <f t="shared" si="0"/>
        <v>57.79</v>
      </c>
    </row>
    <row r="36" spans="1:13" hidden="1">
      <c r="A36" s="135" t="s">
        <v>1355</v>
      </c>
      <c r="B36" s="135" t="s">
        <v>1330</v>
      </c>
      <c r="C36" s="135" t="s">
        <v>1588</v>
      </c>
      <c r="D36" s="174">
        <v>140</v>
      </c>
      <c r="E36" s="135" t="s">
        <v>1367</v>
      </c>
      <c r="F36" s="135" t="s">
        <v>1368</v>
      </c>
      <c r="G36" s="135" t="s">
        <v>1369</v>
      </c>
      <c r="H36" s="135" t="s">
        <v>1575</v>
      </c>
      <c r="I36" s="174">
        <v>140</v>
      </c>
      <c r="J36" s="102"/>
      <c r="K36" t="str">
        <f>IF(A36&gt;0,VLOOKUP(A36,טבלאות!$J:$K,2,0),"")</f>
        <v>אשראי מיכה</v>
      </c>
      <c r="L36" s="50" t="str">
        <f>IF(ISERROR(VLOOKUP(B36,טבלאות!$G:$H,2,0)),"",VLOOKUP(B36,טבלאות!$G:$H,2,0))</f>
        <v>בילוי ומסעדות</v>
      </c>
      <c r="M36" s="51">
        <f t="shared" si="0"/>
        <v>140</v>
      </c>
    </row>
    <row r="37" spans="1:13" hidden="1">
      <c r="A37" s="135" t="s">
        <v>1355</v>
      </c>
      <c r="B37" s="135" t="s">
        <v>900</v>
      </c>
      <c r="C37" s="135" t="s">
        <v>1588</v>
      </c>
      <c r="D37" s="174">
        <v>27.25</v>
      </c>
      <c r="E37" s="135" t="s">
        <v>1367</v>
      </c>
      <c r="F37" s="135" t="s">
        <v>1368</v>
      </c>
      <c r="G37" s="135" t="s">
        <v>1369</v>
      </c>
      <c r="H37" s="135" t="s">
        <v>1575</v>
      </c>
      <c r="I37" s="174">
        <v>27.25</v>
      </c>
      <c r="J37" s="102"/>
      <c r="K37" t="str">
        <f>IF(A37&gt;0,VLOOKUP(A37,טבלאות!$J:$K,2,0),"")</f>
        <v>אשראי מיכה</v>
      </c>
      <c r="L37" s="50" t="str">
        <f>IF(ISERROR(VLOOKUP(B37,טבלאות!$G:$H,2,0)),"",VLOOKUP(B37,טבלאות!$G:$H,2,0))</f>
        <v>רכב ותחבורה</v>
      </c>
      <c r="M37" s="51">
        <f t="shared" si="0"/>
        <v>27.25</v>
      </c>
    </row>
    <row r="38" spans="1:13" hidden="1">
      <c r="A38" s="135" t="s">
        <v>1355</v>
      </c>
      <c r="B38" s="135" t="s">
        <v>966</v>
      </c>
      <c r="C38" s="135" t="s">
        <v>1589</v>
      </c>
      <c r="D38" s="174">
        <v>698.47</v>
      </c>
      <c r="E38" s="135" t="s">
        <v>1367</v>
      </c>
      <c r="F38" s="135" t="s">
        <v>1368</v>
      </c>
      <c r="G38" s="135" t="s">
        <v>1369</v>
      </c>
      <c r="H38" s="135" t="s">
        <v>1575</v>
      </c>
      <c r="I38" s="174">
        <v>698.47</v>
      </c>
      <c r="J38" s="102"/>
      <c r="K38" t="str">
        <f>IF(A38&gt;0,VLOOKUP(A38,טבלאות!$J:$K,2,0),"")</f>
        <v>אשראי מיכה</v>
      </c>
      <c r="L38" s="50" t="str">
        <f>IF(ISERROR(VLOOKUP(B38,טבלאות!$G:$H,2,0)),"",VLOOKUP(B38,טבלאות!$G:$H,2,0))</f>
        <v>מזון ומשקאות</v>
      </c>
      <c r="M38" s="51">
        <f t="shared" si="0"/>
        <v>698.47</v>
      </c>
    </row>
    <row r="39" spans="1:13" hidden="1">
      <c r="A39" s="135" t="s">
        <v>764</v>
      </c>
      <c r="B39" s="135" t="s">
        <v>741</v>
      </c>
      <c r="C39" s="135" t="s">
        <v>1589</v>
      </c>
      <c r="D39" s="174">
        <v>163.44999999999999</v>
      </c>
      <c r="E39" s="135" t="s">
        <v>1367</v>
      </c>
      <c r="F39" s="135" t="s">
        <v>1368</v>
      </c>
      <c r="G39" s="135" t="s">
        <v>1375</v>
      </c>
      <c r="H39" s="135" t="s">
        <v>1575</v>
      </c>
      <c r="I39" s="174">
        <v>163.44999999999999</v>
      </c>
      <c r="J39" s="102"/>
      <c r="K39" t="str">
        <f>IF(A39&gt;0,VLOOKUP(A39,טבלאות!$J:$K,2,0),"")</f>
        <v>אשראי אורנה</v>
      </c>
      <c r="L39" s="50" t="str">
        <f>IF(ISERROR(VLOOKUP(B39,טבלאות!$G:$H,2,0)),"",VLOOKUP(B39,טבלאות!$G:$H,2,0))</f>
        <v>מוצרי חשמל ותקשורת</v>
      </c>
      <c r="M39" s="51">
        <f t="shared" si="0"/>
        <v>163.44999999999999</v>
      </c>
    </row>
    <row r="40" spans="1:13" hidden="1">
      <c r="A40" s="135" t="s">
        <v>764</v>
      </c>
      <c r="B40" s="135" t="s">
        <v>581</v>
      </c>
      <c r="C40" s="135" t="s">
        <v>1590</v>
      </c>
      <c r="D40" s="174">
        <v>100</v>
      </c>
      <c r="E40" s="135" t="s">
        <v>1367</v>
      </c>
      <c r="F40" s="135" t="s">
        <v>1368</v>
      </c>
      <c r="G40" s="135" t="s">
        <v>1427</v>
      </c>
      <c r="H40" s="135" t="s">
        <v>1575</v>
      </c>
      <c r="I40" s="174">
        <v>100</v>
      </c>
      <c r="J40" s="102"/>
      <c r="K40" t="str">
        <f>IF(A40&gt;0,VLOOKUP(A40,טבלאות!$J:$K,2,0),"")</f>
        <v>אשראי אורנה</v>
      </c>
      <c r="L40" s="50" t="str">
        <f>IF(ISERROR(VLOOKUP(B40,טבלאות!$G:$H,2,0)),"",VLOOKUP(B40,טבלאות!$G:$H,2,0))</f>
        <v>חוגים</v>
      </c>
      <c r="M40" s="51">
        <f t="shared" si="0"/>
        <v>100</v>
      </c>
    </row>
    <row r="41" spans="1:13" hidden="1">
      <c r="A41" s="135" t="s">
        <v>1355</v>
      </c>
      <c r="B41" s="135" t="s">
        <v>1173</v>
      </c>
      <c r="C41" s="135" t="s">
        <v>1591</v>
      </c>
      <c r="D41" s="174">
        <v>60.04</v>
      </c>
      <c r="E41" s="135" t="s">
        <v>1367</v>
      </c>
      <c r="F41" s="135" t="s">
        <v>1372</v>
      </c>
      <c r="G41" s="135" t="s">
        <v>1592</v>
      </c>
      <c r="H41" s="135" t="s">
        <v>1575</v>
      </c>
      <c r="I41" s="174">
        <v>60.04</v>
      </c>
      <c r="J41" s="102"/>
      <c r="K41" t="str">
        <f>IF(A41&gt;0,VLOOKUP(A41,טבלאות!$J:$K,2,0),"")</f>
        <v>אשראי מיכה</v>
      </c>
      <c r="L41" s="50" t="str">
        <f>IF(ISERROR(VLOOKUP(B41,טבלאות!$G:$H,2,0)),"",VLOOKUP(B41,טבלאות!$G:$H,2,0))</f>
        <v>בית וגן</v>
      </c>
      <c r="M41" s="51">
        <f t="shared" si="0"/>
        <v>60.04</v>
      </c>
    </row>
    <row r="42" spans="1:13" hidden="1">
      <c r="A42" s="135" t="s">
        <v>1355</v>
      </c>
      <c r="B42" s="135" t="s">
        <v>86</v>
      </c>
      <c r="C42" s="135" t="s">
        <v>1591</v>
      </c>
      <c r="D42" s="174">
        <v>19</v>
      </c>
      <c r="E42" s="135" t="s">
        <v>1367</v>
      </c>
      <c r="F42" s="135" t="s">
        <v>1368</v>
      </c>
      <c r="G42" s="135" t="s">
        <v>1375</v>
      </c>
      <c r="H42" s="135" t="s">
        <v>1575</v>
      </c>
      <c r="I42" s="174">
        <v>19</v>
      </c>
      <c r="J42" s="102"/>
      <c r="K42" t="str">
        <f>IF(A42&gt;0,VLOOKUP(A42,טבלאות!$J:$K,2,0),"")</f>
        <v>אשראי מיכה</v>
      </c>
      <c r="L42" s="50" t="str">
        <f>IF(ISERROR(VLOOKUP(B42,טבלאות!$G:$H,2,0)),"",VLOOKUP(B42,טבלאות!$G:$H,2,0))</f>
        <v>מוצרי חשמל ותקשורת</v>
      </c>
      <c r="M42" s="51">
        <f t="shared" si="0"/>
        <v>19</v>
      </c>
    </row>
    <row r="43" spans="1:13" hidden="1">
      <c r="A43" s="135" t="s">
        <v>1355</v>
      </c>
      <c r="B43" s="135" t="s">
        <v>649</v>
      </c>
      <c r="C43" s="135" t="s">
        <v>1591</v>
      </c>
      <c r="D43" s="174">
        <v>72</v>
      </c>
      <c r="E43" s="135" t="s">
        <v>1367</v>
      </c>
      <c r="F43" s="135" t="s">
        <v>1368</v>
      </c>
      <c r="G43" s="135" t="s">
        <v>1369</v>
      </c>
      <c r="H43" s="135" t="s">
        <v>1575</v>
      </c>
      <c r="I43" s="174">
        <v>72</v>
      </c>
      <c r="J43" s="102"/>
      <c r="K43" t="str">
        <f>IF(A43&gt;0,VLOOKUP(A43,טבלאות!$J:$K,2,0),"")</f>
        <v>אשראי מיכה</v>
      </c>
      <c r="L43" s="50" t="str">
        <f>IF(ISERROR(VLOOKUP(B43,טבלאות!$G:$H,2,0)),"",VLOOKUP(B43,טבלאות!$G:$H,2,0))</f>
        <v>מזון ומשקאות</v>
      </c>
      <c r="M43" s="51">
        <f t="shared" si="0"/>
        <v>72</v>
      </c>
    </row>
    <row r="44" spans="1:13" hidden="1">
      <c r="A44" s="135" t="s">
        <v>1355</v>
      </c>
      <c r="B44" s="135" t="s">
        <v>966</v>
      </c>
      <c r="C44" s="135" t="s">
        <v>1591</v>
      </c>
      <c r="D44" s="174">
        <v>141.01</v>
      </c>
      <c r="E44" s="135" t="s">
        <v>1367</v>
      </c>
      <c r="F44" s="135" t="s">
        <v>1368</v>
      </c>
      <c r="G44" s="135" t="s">
        <v>1369</v>
      </c>
      <c r="H44" s="135" t="s">
        <v>1575</v>
      </c>
      <c r="I44" s="174">
        <v>141.01</v>
      </c>
      <c r="J44" s="102"/>
      <c r="K44" t="str">
        <f>IF(A44&gt;0,VLOOKUP(A44,טבלאות!$J:$K,2,0),"")</f>
        <v>אשראי מיכה</v>
      </c>
      <c r="L44" s="50" t="str">
        <f>IF(ISERROR(VLOOKUP(B44,טבלאות!$G:$H,2,0)),"",VLOOKUP(B44,טבלאות!$G:$H,2,0))</f>
        <v>מזון ומשקאות</v>
      </c>
      <c r="M44" s="51">
        <f t="shared" si="0"/>
        <v>141.01</v>
      </c>
    </row>
    <row r="45" spans="1:13" hidden="1">
      <c r="A45" s="135" t="s">
        <v>1355</v>
      </c>
      <c r="B45" s="135" t="s">
        <v>518</v>
      </c>
      <c r="C45" s="135" t="s">
        <v>1593</v>
      </c>
      <c r="D45" s="174">
        <v>4.18</v>
      </c>
      <c r="E45" s="135" t="s">
        <v>1367</v>
      </c>
      <c r="F45" s="135" t="s">
        <v>1368</v>
      </c>
      <c r="G45" s="135" t="s">
        <v>1369</v>
      </c>
      <c r="H45" s="135" t="s">
        <v>1575</v>
      </c>
      <c r="I45" s="174">
        <v>4.18</v>
      </c>
      <c r="J45" s="102"/>
      <c r="K45" t="str">
        <f>IF(A45&gt;0,VLOOKUP(A45,טבלאות!$J:$K,2,0),"")</f>
        <v>אשראי מיכה</v>
      </c>
      <c r="L45" s="50" t="str">
        <f>IF(ISERROR(VLOOKUP(B45,טבלאות!$G:$H,2,0)),"",VLOOKUP(B45,טבלאות!$G:$H,2,0))</f>
        <v>מזון ומשקאות</v>
      </c>
      <c r="M45" s="51">
        <f t="shared" si="0"/>
        <v>4.18</v>
      </c>
    </row>
    <row r="46" spans="1:13" hidden="1">
      <c r="A46" s="135" t="s">
        <v>1355</v>
      </c>
      <c r="B46" s="135" t="s">
        <v>1101</v>
      </c>
      <c r="C46" s="135" t="s">
        <v>1593</v>
      </c>
      <c r="D46" s="174">
        <v>34.57</v>
      </c>
      <c r="E46" s="135" t="s">
        <v>1367</v>
      </c>
      <c r="F46" s="135" t="s">
        <v>1368</v>
      </c>
      <c r="G46" s="135" t="s">
        <v>1369</v>
      </c>
      <c r="H46" s="135" t="s">
        <v>1575</v>
      </c>
      <c r="I46" s="174">
        <v>34.57</v>
      </c>
      <c r="J46" s="102"/>
      <c r="K46" t="str">
        <f>IF(A46&gt;0,VLOOKUP(A46,טבלאות!$J:$K,2,0),"")</f>
        <v>אשראי מיכה</v>
      </c>
      <c r="L46" s="50" t="str">
        <f>IF(ISERROR(VLOOKUP(B46,טבלאות!$G:$H,2,0)),"",VLOOKUP(B46,טבלאות!$G:$H,2,0))</f>
        <v>מזון ומשקאות</v>
      </c>
      <c r="M46" s="51">
        <f t="shared" si="0"/>
        <v>34.57</v>
      </c>
    </row>
    <row r="47" spans="1:13" hidden="1">
      <c r="A47" s="135" t="s">
        <v>764</v>
      </c>
      <c r="B47" s="135" t="s">
        <v>924</v>
      </c>
      <c r="C47" s="135" t="s">
        <v>1593</v>
      </c>
      <c r="D47" s="174">
        <v>350</v>
      </c>
      <c r="E47" s="135" t="s">
        <v>1367</v>
      </c>
      <c r="F47" s="135" t="s">
        <v>1368</v>
      </c>
      <c r="G47" s="135" t="s">
        <v>1369</v>
      </c>
      <c r="H47" s="135" t="s">
        <v>1575</v>
      </c>
      <c r="I47" s="174">
        <v>350</v>
      </c>
      <c r="J47" s="102"/>
      <c r="K47" t="str">
        <f>IF(A47&gt;0,VLOOKUP(A47,טבלאות!$J:$K,2,0),"")</f>
        <v>אשראי אורנה</v>
      </c>
      <c r="L47" s="50" t="str">
        <f>IF(ISERROR(VLOOKUP(B47,טבלאות!$G:$H,2,0)),"",VLOOKUP(B47,טבלאות!$G:$H,2,0))</f>
        <v>בית וגן</v>
      </c>
      <c r="M47" s="51">
        <f t="shared" si="0"/>
        <v>350</v>
      </c>
    </row>
    <row r="48" spans="1:13" hidden="1">
      <c r="A48" s="135" t="s">
        <v>1355</v>
      </c>
      <c r="B48" s="135" t="s">
        <v>1216</v>
      </c>
      <c r="C48" s="135" t="s">
        <v>1594</v>
      </c>
      <c r="D48" s="174">
        <v>107.8</v>
      </c>
      <c r="E48" s="135" t="s">
        <v>1367</v>
      </c>
      <c r="F48" s="135" t="s">
        <v>1368</v>
      </c>
      <c r="G48" s="135" t="s">
        <v>1369</v>
      </c>
      <c r="H48" s="135" t="s">
        <v>1575</v>
      </c>
      <c r="I48" s="174">
        <v>107.8</v>
      </c>
      <c r="J48" s="101"/>
      <c r="K48" t="str">
        <f>IF(A48&gt;0,VLOOKUP(A48,טבלאות!$J:$K,2,0),"")</f>
        <v>אשראי מיכה</v>
      </c>
      <c r="L48" s="50" t="str">
        <f>IF(ISERROR(VLOOKUP(B48,טבלאות!$G:$H,2,0)),"",VLOOKUP(B48,טבלאות!$G:$H,2,0))</f>
        <v>מתנות ומזכרות</v>
      </c>
      <c r="M48" s="51">
        <f t="shared" si="0"/>
        <v>107.8</v>
      </c>
    </row>
    <row r="49" spans="1:13" hidden="1">
      <c r="A49" s="135" t="s">
        <v>1355</v>
      </c>
      <c r="B49" s="135" t="s">
        <v>966</v>
      </c>
      <c r="C49" s="135" t="s">
        <v>1594</v>
      </c>
      <c r="D49" s="174">
        <v>500.87</v>
      </c>
      <c r="E49" s="135" t="s">
        <v>1367</v>
      </c>
      <c r="F49" s="135" t="s">
        <v>1368</v>
      </c>
      <c r="G49" s="135" t="s">
        <v>1369</v>
      </c>
      <c r="H49" s="135" t="s">
        <v>1575</v>
      </c>
      <c r="I49" s="174">
        <v>500.87</v>
      </c>
      <c r="J49" s="102"/>
      <c r="K49" t="str">
        <f>IF(A49&gt;0,VLOOKUP(A49,טבלאות!$J:$K,2,0),"")</f>
        <v>אשראי מיכה</v>
      </c>
      <c r="L49" s="50" t="str">
        <f>IF(ISERROR(VLOOKUP(B49,טבלאות!$G:$H,2,0)),"",VLOOKUP(B49,טבלאות!$G:$H,2,0))</f>
        <v>מזון ומשקאות</v>
      </c>
      <c r="M49" s="51">
        <f t="shared" si="0"/>
        <v>500.87</v>
      </c>
    </row>
    <row r="50" spans="1:13" hidden="1">
      <c r="A50" s="135" t="s">
        <v>764</v>
      </c>
      <c r="B50" s="135" t="s">
        <v>137</v>
      </c>
      <c r="C50" s="135" t="s">
        <v>1594</v>
      </c>
      <c r="D50" s="174">
        <v>141.97</v>
      </c>
      <c r="E50" s="135" t="s">
        <v>1367</v>
      </c>
      <c r="F50" s="135" t="s">
        <v>1368</v>
      </c>
      <c r="G50" s="135" t="s">
        <v>1369</v>
      </c>
      <c r="H50" s="135" t="s">
        <v>1575</v>
      </c>
      <c r="I50" s="174">
        <v>141.97</v>
      </c>
      <c r="J50" s="102"/>
      <c r="K50" t="str">
        <f>IF(A50&gt;0,VLOOKUP(A50,טבלאות!$J:$K,2,0),"")</f>
        <v>אשראי אורנה</v>
      </c>
      <c r="L50" s="50" t="str">
        <f>IF(ISERROR(VLOOKUP(B50,טבלאות!$G:$H,2,0)),"",VLOOKUP(B50,טבלאות!$G:$H,2,0))</f>
        <v>רכב ותחבורה</v>
      </c>
      <c r="M50" s="51">
        <f t="shared" si="0"/>
        <v>141.97</v>
      </c>
    </row>
    <row r="51" spans="1:13" hidden="1">
      <c r="A51" s="135" t="s">
        <v>1355</v>
      </c>
      <c r="B51" s="135" t="s">
        <v>1245</v>
      </c>
      <c r="C51" s="135" t="s">
        <v>1595</v>
      </c>
      <c r="D51" s="174">
        <v>3394</v>
      </c>
      <c r="E51" s="135" t="s">
        <v>1367</v>
      </c>
      <c r="F51" s="135" t="s">
        <v>1383</v>
      </c>
      <c r="G51" s="135" t="s">
        <v>1596</v>
      </c>
      <c r="H51" s="135" t="s">
        <v>1575</v>
      </c>
      <c r="I51" s="174">
        <v>1697</v>
      </c>
      <c r="J51" s="102"/>
      <c r="K51" t="str">
        <f>IF(A51&gt;0,VLOOKUP(A51,טבלאות!$J:$K,2,0),"")</f>
        <v>אשראי מיכה</v>
      </c>
      <c r="L51" s="50" t="str">
        <f>IF(ISERROR(VLOOKUP(B51,טבלאות!$G:$H,2,0)),"",VLOOKUP(B51,טבלאות!$G:$H,2,0))</f>
        <v>רכב ותחבורה</v>
      </c>
      <c r="M51" s="51">
        <f t="shared" si="0"/>
        <v>1697</v>
      </c>
    </row>
    <row r="52" spans="1:13" hidden="1">
      <c r="A52" s="135" t="s">
        <v>1355</v>
      </c>
      <c r="B52" s="135" t="s">
        <v>1597</v>
      </c>
      <c r="C52" s="135" t="s">
        <v>1595</v>
      </c>
      <c r="D52" s="174">
        <v>121.93</v>
      </c>
      <c r="E52" s="135" t="s">
        <v>1367</v>
      </c>
      <c r="F52" s="135" t="s">
        <v>1368</v>
      </c>
      <c r="G52" s="135" t="s">
        <v>1369</v>
      </c>
      <c r="H52" s="135" t="s">
        <v>1575</v>
      </c>
      <c r="I52" s="174">
        <v>121.93</v>
      </c>
      <c r="J52" s="102"/>
      <c r="K52" t="str">
        <f>IF(A52&gt;0,VLOOKUP(A52,טבלאות!$J:$K,2,0),"")</f>
        <v>אשראי מיכה</v>
      </c>
      <c r="L52" s="50" t="str">
        <f>IF(ISERROR(VLOOKUP(B52,טבלאות!$G:$H,2,0)),"",VLOOKUP(B52,טבלאות!$G:$H,2,0))</f>
        <v>רכב ותחבורה</v>
      </c>
      <c r="M52" s="51">
        <f t="shared" si="0"/>
        <v>121.93</v>
      </c>
    </row>
    <row r="53" spans="1:13" hidden="1">
      <c r="A53" s="135" t="s">
        <v>1355</v>
      </c>
      <c r="B53" s="135" t="s">
        <v>1094</v>
      </c>
      <c r="C53" s="135" t="s">
        <v>1598</v>
      </c>
      <c r="D53" s="174">
        <v>79</v>
      </c>
      <c r="E53" s="135" t="s">
        <v>1367</v>
      </c>
      <c r="F53" s="135" t="s">
        <v>1368</v>
      </c>
      <c r="G53" s="135" t="s">
        <v>1369</v>
      </c>
      <c r="H53" s="135" t="s">
        <v>1575</v>
      </c>
      <c r="I53" s="174">
        <v>79</v>
      </c>
      <c r="J53" s="102"/>
      <c r="K53" t="str">
        <f>IF(A53&gt;0,VLOOKUP(A53,טבלאות!$J:$K,2,0),"")</f>
        <v>אשראי מיכה</v>
      </c>
      <c r="L53" s="50" t="str">
        <f>IF(ISERROR(VLOOKUP(B53,טבלאות!$G:$H,2,0)),"",VLOOKUP(B53,טבלאות!$G:$H,2,0))</f>
        <v>מזון ומשקאות</v>
      </c>
      <c r="M53" s="51">
        <f t="shared" si="0"/>
        <v>79</v>
      </c>
    </row>
    <row r="54" spans="1:13" hidden="1">
      <c r="A54" s="135" t="s">
        <v>1355</v>
      </c>
      <c r="B54" s="135" t="s">
        <v>649</v>
      </c>
      <c r="C54" s="135" t="s">
        <v>1598</v>
      </c>
      <c r="D54" s="174">
        <v>72</v>
      </c>
      <c r="E54" s="135" t="s">
        <v>1367</v>
      </c>
      <c r="F54" s="135" t="s">
        <v>1368</v>
      </c>
      <c r="G54" s="135" t="s">
        <v>1369</v>
      </c>
      <c r="H54" s="135" t="s">
        <v>1575</v>
      </c>
      <c r="I54" s="174">
        <v>72</v>
      </c>
      <c r="J54" s="102"/>
      <c r="K54" t="str">
        <f>IF(A54&gt;0,VLOOKUP(A54,טבלאות!$J:$K,2,0),"")</f>
        <v>אשראי מיכה</v>
      </c>
      <c r="L54" s="50" t="str">
        <f>IF(ISERROR(VLOOKUP(B54,טבלאות!$G:$H,2,0)),"",VLOOKUP(B54,טבלאות!$G:$H,2,0))</f>
        <v>מזון ומשקאות</v>
      </c>
      <c r="M54" s="51">
        <f t="shared" si="0"/>
        <v>72</v>
      </c>
    </row>
    <row r="55" spans="1:13" hidden="1">
      <c r="A55" s="135" t="s">
        <v>764</v>
      </c>
      <c r="B55" s="135" t="s">
        <v>1599</v>
      </c>
      <c r="C55" s="135" t="s">
        <v>1598</v>
      </c>
      <c r="D55" s="174">
        <v>411</v>
      </c>
      <c r="E55" s="135" t="s">
        <v>1367</v>
      </c>
      <c r="F55" s="135" t="s">
        <v>1368</v>
      </c>
      <c r="G55" s="135" t="s">
        <v>1369</v>
      </c>
      <c r="H55" s="135" t="s">
        <v>1575</v>
      </c>
      <c r="I55" s="174">
        <v>411</v>
      </c>
      <c r="J55" s="102"/>
      <c r="K55" t="str">
        <f>IF(A55&gt;0,VLOOKUP(A55,טבלאות!$J:$K,2,0),"")</f>
        <v>אשראי אורנה</v>
      </c>
      <c r="L55" s="50" t="str">
        <f>IF(ISERROR(VLOOKUP(B55,טבלאות!$G:$H,2,0)),"",VLOOKUP(B55,טבלאות!$G:$H,2,0))</f>
        <v>בריאות</v>
      </c>
      <c r="M55" s="51">
        <f t="shared" si="0"/>
        <v>411</v>
      </c>
    </row>
    <row r="56" spans="1:13" hidden="1">
      <c r="A56" s="135" t="s">
        <v>764</v>
      </c>
      <c r="B56" s="135" t="s">
        <v>1600</v>
      </c>
      <c r="C56" s="135" t="s">
        <v>1598</v>
      </c>
      <c r="D56" s="174">
        <v>663</v>
      </c>
      <c r="E56" s="135" t="s">
        <v>1367</v>
      </c>
      <c r="F56" s="135" t="s">
        <v>1368</v>
      </c>
      <c r="G56" s="135" t="s">
        <v>1369</v>
      </c>
      <c r="H56" s="135" t="s">
        <v>1575</v>
      </c>
      <c r="I56" s="174">
        <v>663</v>
      </c>
      <c r="J56" s="102"/>
      <c r="K56" t="str">
        <f>IF(A56&gt;0,VLOOKUP(A56,טבלאות!$J:$K,2,0),"")</f>
        <v>אשראי אורנה</v>
      </c>
      <c r="L56" s="50" t="str">
        <f>IF(ISERROR(VLOOKUP(B56,טבלאות!$G:$H,2,0)),"",VLOOKUP(B56,טבלאות!$G:$H,2,0))</f>
        <v>בילוי ומסעדות</v>
      </c>
      <c r="M56" s="51">
        <f t="shared" si="0"/>
        <v>663</v>
      </c>
    </row>
    <row r="57" spans="1:13" hidden="1">
      <c r="A57" s="135" t="s">
        <v>1355</v>
      </c>
      <c r="B57" s="135" t="s">
        <v>964</v>
      </c>
      <c r="C57" s="135" t="s">
        <v>1601</v>
      </c>
      <c r="D57" s="174">
        <v>16.7</v>
      </c>
      <c r="E57" s="135" t="s">
        <v>1367</v>
      </c>
      <c r="F57" s="135" t="s">
        <v>1368</v>
      </c>
      <c r="G57" s="135" t="s">
        <v>1369</v>
      </c>
      <c r="H57" s="135" t="s">
        <v>1575</v>
      </c>
      <c r="I57" s="174">
        <v>16.7</v>
      </c>
      <c r="J57" s="102"/>
      <c r="K57" t="str">
        <f>IF(A57&gt;0,VLOOKUP(A57,טבלאות!$J:$K,2,0),"")</f>
        <v>אשראי מיכה</v>
      </c>
      <c r="L57" s="50" t="str">
        <f>IF(ISERROR(VLOOKUP(B57,טבלאות!$G:$H,2,0)),"",VLOOKUP(B57,טבלאות!$G:$H,2,0))</f>
        <v>מזון ומשקאות</v>
      </c>
      <c r="M57" s="51">
        <f t="shared" si="0"/>
        <v>16.7</v>
      </c>
    </row>
    <row r="58" spans="1:13" hidden="1">
      <c r="A58" s="135" t="s">
        <v>764</v>
      </c>
      <c r="B58" s="135" t="s">
        <v>137</v>
      </c>
      <c r="C58" s="135" t="s">
        <v>1601</v>
      </c>
      <c r="D58" s="174">
        <v>225.06</v>
      </c>
      <c r="E58" s="135" t="s">
        <v>1367</v>
      </c>
      <c r="F58" s="135" t="s">
        <v>1368</v>
      </c>
      <c r="G58" s="135" t="s">
        <v>1369</v>
      </c>
      <c r="H58" s="135" t="s">
        <v>1575</v>
      </c>
      <c r="I58" s="174">
        <v>225.06</v>
      </c>
      <c r="J58" s="102"/>
      <c r="K58" t="str">
        <f>IF(A58&gt;0,VLOOKUP(A58,טבלאות!$J:$K,2,0),"")</f>
        <v>אשראי אורנה</v>
      </c>
      <c r="L58" s="50" t="str">
        <f>IF(ISERROR(VLOOKUP(B58,טבלאות!$G:$H,2,0)),"",VLOOKUP(B58,טבלאות!$G:$H,2,0))</f>
        <v>רכב ותחבורה</v>
      </c>
      <c r="M58" s="51">
        <f t="shared" si="0"/>
        <v>225.06</v>
      </c>
    </row>
    <row r="59" spans="1:13" hidden="1">
      <c r="A59" s="135" t="s">
        <v>1355</v>
      </c>
      <c r="B59" s="135" t="s">
        <v>1602</v>
      </c>
      <c r="C59" s="135" t="s">
        <v>1603</v>
      </c>
      <c r="D59" s="174">
        <v>77</v>
      </c>
      <c r="E59" s="135" t="s">
        <v>1367</v>
      </c>
      <c r="F59" s="135" t="s">
        <v>1368</v>
      </c>
      <c r="G59" s="135" t="s">
        <v>1369</v>
      </c>
      <c r="H59" s="135" t="s">
        <v>1575</v>
      </c>
      <c r="I59" s="174">
        <v>77</v>
      </c>
      <c r="J59" s="102"/>
      <c r="K59" t="str">
        <f>IF(A59&gt;0,VLOOKUP(A59,טבלאות!$J:$K,2,0),"")</f>
        <v>אשראי מיכה</v>
      </c>
      <c r="L59" s="50" t="str">
        <f>IF(ISERROR(VLOOKUP(B59,טבלאות!$G:$H,2,0)),"",VLOOKUP(B59,טבלאות!$G:$H,2,0))</f>
        <v>בילוי ומסעדות</v>
      </c>
      <c r="M59" s="51">
        <f t="shared" si="0"/>
        <v>77</v>
      </c>
    </row>
    <row r="60" spans="1:13" hidden="1">
      <c r="A60" s="135" t="s">
        <v>1355</v>
      </c>
      <c r="B60" s="135" t="s">
        <v>638</v>
      </c>
      <c r="C60" s="135" t="s">
        <v>1604</v>
      </c>
      <c r="D60" s="174">
        <v>46.7</v>
      </c>
      <c r="E60" s="135" t="s">
        <v>1367</v>
      </c>
      <c r="F60" s="135" t="s">
        <v>1368</v>
      </c>
      <c r="G60" s="135" t="s">
        <v>1369</v>
      </c>
      <c r="H60" s="135" t="s">
        <v>1575</v>
      </c>
      <c r="I60" s="174">
        <v>46.7</v>
      </c>
      <c r="J60" s="102"/>
      <c r="K60" t="str">
        <f>IF(A60&gt;0,VLOOKUP(A60,טבלאות!$J:$K,2,0),"")</f>
        <v>אשראי מיכה</v>
      </c>
      <c r="L60" s="50" t="str">
        <f>IF(ISERROR(VLOOKUP(B60,טבלאות!$G:$H,2,0)),"",VLOOKUP(B60,טבלאות!$G:$H,2,0))</f>
        <v>מזון ומשקאות</v>
      </c>
      <c r="M60" s="51">
        <f t="shared" si="0"/>
        <v>46.7</v>
      </c>
    </row>
    <row r="61" spans="1:13" hidden="1">
      <c r="A61" s="135" t="s">
        <v>1355</v>
      </c>
      <c r="B61" s="135" t="s">
        <v>886</v>
      </c>
      <c r="C61" s="135" t="s">
        <v>1604</v>
      </c>
      <c r="D61" s="174">
        <v>70.98</v>
      </c>
      <c r="E61" s="135" t="s">
        <v>1367</v>
      </c>
      <c r="F61" s="135" t="s">
        <v>1368</v>
      </c>
      <c r="G61" s="135" t="s">
        <v>1369</v>
      </c>
      <c r="H61" s="135" t="s">
        <v>1575</v>
      </c>
      <c r="I61" s="174">
        <v>70.98</v>
      </c>
      <c r="J61" s="102"/>
      <c r="K61" t="str">
        <f>IF(A61&gt;0,VLOOKUP(A61,טבלאות!$J:$K,2,0),"")</f>
        <v>אשראי מיכה</v>
      </c>
      <c r="L61" s="50" t="str">
        <f>IF(ISERROR(VLOOKUP(B61,טבלאות!$G:$H,2,0)),"",VLOOKUP(B61,טבלאות!$G:$H,2,0))</f>
        <v>מזון ומשקאות</v>
      </c>
      <c r="M61" s="51">
        <f t="shared" si="0"/>
        <v>70.98</v>
      </c>
    </row>
    <row r="62" spans="1:13" hidden="1">
      <c r="A62" s="135" t="s">
        <v>1355</v>
      </c>
      <c r="B62" s="135" t="s">
        <v>966</v>
      </c>
      <c r="C62" s="135" t="s">
        <v>1605</v>
      </c>
      <c r="D62" s="174">
        <v>13.73</v>
      </c>
      <c r="E62" s="135" t="s">
        <v>1367</v>
      </c>
      <c r="F62" s="135" t="s">
        <v>1368</v>
      </c>
      <c r="G62" s="135" t="s">
        <v>1369</v>
      </c>
      <c r="H62" s="135" t="s">
        <v>1575</v>
      </c>
      <c r="I62" s="174">
        <v>13.73</v>
      </c>
      <c r="J62" s="102"/>
      <c r="K62" t="str">
        <f>IF(A62&gt;0,VLOOKUP(A62,טבלאות!$J:$K,2,0),"")</f>
        <v>אשראי מיכה</v>
      </c>
      <c r="L62" s="50" t="str">
        <f>IF(ISERROR(VLOOKUP(B62,טבלאות!$G:$H,2,0)),"",VLOOKUP(B62,טבלאות!$G:$H,2,0))</f>
        <v>מזון ומשקאות</v>
      </c>
      <c r="M62" s="51">
        <f t="shared" si="0"/>
        <v>13.73</v>
      </c>
    </row>
    <row r="63" spans="1:13" hidden="1">
      <c r="A63" s="135" t="s">
        <v>1355</v>
      </c>
      <c r="B63" s="135" t="s">
        <v>1225</v>
      </c>
      <c r="C63" s="135" t="s">
        <v>1606</v>
      </c>
      <c r="D63" s="174">
        <v>95</v>
      </c>
      <c r="E63" s="135" t="s">
        <v>1367</v>
      </c>
      <c r="F63" s="135" t="s">
        <v>1368</v>
      </c>
      <c r="G63" s="135" t="s">
        <v>1369</v>
      </c>
      <c r="H63" s="135" t="s">
        <v>1575</v>
      </c>
      <c r="I63" s="174">
        <v>95</v>
      </c>
      <c r="J63" s="102"/>
      <c r="K63" t="str">
        <f>IF(A63&gt;0,VLOOKUP(A63,טבלאות!$J:$K,2,0),"")</f>
        <v>אשראי מיכה</v>
      </c>
      <c r="L63" s="50" t="str">
        <f>IF(ISERROR(VLOOKUP(B63,טבלאות!$G:$H,2,0)),"",VLOOKUP(B63,טבלאות!$G:$H,2,0))</f>
        <v>בילוי ומסעדות</v>
      </c>
      <c r="M63" s="51">
        <f t="shared" si="0"/>
        <v>95</v>
      </c>
    </row>
    <row r="64" spans="1:13" hidden="1">
      <c r="A64" s="135" t="s">
        <v>1355</v>
      </c>
      <c r="B64" s="135" t="s">
        <v>649</v>
      </c>
      <c r="C64" s="135" t="s">
        <v>1606</v>
      </c>
      <c r="D64" s="174">
        <v>72</v>
      </c>
      <c r="E64" s="135" t="s">
        <v>1367</v>
      </c>
      <c r="F64" s="135" t="s">
        <v>1368</v>
      </c>
      <c r="G64" s="135" t="s">
        <v>1369</v>
      </c>
      <c r="H64" s="135" t="s">
        <v>1575</v>
      </c>
      <c r="I64" s="174">
        <v>72</v>
      </c>
      <c r="J64" s="102"/>
      <c r="K64" t="str">
        <f>IF(A64&gt;0,VLOOKUP(A64,טבלאות!$J:$K,2,0),"")</f>
        <v>אשראי מיכה</v>
      </c>
      <c r="L64" s="50" t="str">
        <f>IF(ISERROR(VLOOKUP(B64,טבלאות!$G:$H,2,0)),"",VLOOKUP(B64,טבלאות!$G:$H,2,0))</f>
        <v>מזון ומשקאות</v>
      </c>
      <c r="M64" s="51">
        <f t="shared" si="0"/>
        <v>72</v>
      </c>
    </row>
    <row r="65" spans="1:13" hidden="1">
      <c r="A65" s="135" t="s">
        <v>1355</v>
      </c>
      <c r="B65" s="135" t="s">
        <v>966</v>
      </c>
      <c r="C65" s="135" t="s">
        <v>1606</v>
      </c>
      <c r="D65" s="174">
        <v>1033.79</v>
      </c>
      <c r="E65" s="135" t="s">
        <v>1367</v>
      </c>
      <c r="F65" s="135" t="s">
        <v>1368</v>
      </c>
      <c r="G65" s="135" t="s">
        <v>1369</v>
      </c>
      <c r="H65" s="135" t="s">
        <v>1575</v>
      </c>
      <c r="I65" s="174">
        <v>1033.79</v>
      </c>
      <c r="J65" s="102"/>
      <c r="K65" t="str">
        <f>IF(A65&gt;0,VLOOKUP(A65,טבלאות!$J:$K,2,0),"")</f>
        <v>אשראי מיכה</v>
      </c>
      <c r="L65" s="50" t="str">
        <f>IF(ISERROR(VLOOKUP(B65,טבלאות!$G:$H,2,0)),"",VLOOKUP(B65,טבלאות!$G:$H,2,0))</f>
        <v>מזון ומשקאות</v>
      </c>
      <c r="M65" s="51">
        <f t="shared" si="0"/>
        <v>1033.79</v>
      </c>
    </row>
    <row r="66" spans="1:13" hidden="1">
      <c r="A66" s="135" t="s">
        <v>764</v>
      </c>
      <c r="B66" s="135" t="s">
        <v>940</v>
      </c>
      <c r="C66" s="135" t="s">
        <v>1606</v>
      </c>
      <c r="D66" s="174">
        <v>1000</v>
      </c>
      <c r="E66" s="135" t="s">
        <v>1367</v>
      </c>
      <c r="F66" s="135" t="s">
        <v>1372</v>
      </c>
      <c r="G66" s="135" t="s">
        <v>1484</v>
      </c>
      <c r="H66" s="135" t="s">
        <v>1575</v>
      </c>
      <c r="I66" s="174">
        <v>1000</v>
      </c>
      <c r="J66" s="102"/>
      <c r="K66" t="str">
        <f>IF(A66&gt;0,VLOOKUP(A66,טבלאות!$J:$K,2,0),"")</f>
        <v>אשראי אורנה</v>
      </c>
      <c r="L66" s="50" t="str">
        <f>IF(ISERROR(VLOOKUP(B66,טבלאות!$G:$H,2,0)),"",VLOOKUP(B66,טבלאות!$G:$H,2,0))</f>
        <v>מתנות ומזכרות</v>
      </c>
      <c r="M66" s="51">
        <f t="shared" ref="M66:M113" si="1">IF(OR(L66="",L66="?"),"",IF(L66&gt;0,I66,""))</f>
        <v>1000</v>
      </c>
    </row>
    <row r="67" spans="1:13" hidden="1">
      <c r="A67" s="135" t="s">
        <v>1355</v>
      </c>
      <c r="B67" s="135" t="s">
        <v>966</v>
      </c>
      <c r="C67" s="135" t="s">
        <v>1607</v>
      </c>
      <c r="D67" s="174">
        <v>75.989999999999995</v>
      </c>
      <c r="E67" s="135" t="s">
        <v>1367</v>
      </c>
      <c r="F67" s="135" t="s">
        <v>1368</v>
      </c>
      <c r="G67" s="135" t="s">
        <v>1369</v>
      </c>
      <c r="H67" s="135" t="s">
        <v>1575</v>
      </c>
      <c r="I67" s="174">
        <v>75.989999999999995</v>
      </c>
      <c r="J67" s="102"/>
      <c r="K67" t="str">
        <f>IF(A67&gt;0,VLOOKUP(A67,טבלאות!$J:$K,2,0),"")</f>
        <v>אשראי מיכה</v>
      </c>
      <c r="L67" s="50" t="str">
        <f>IF(ISERROR(VLOOKUP(B67,טבלאות!$G:$H,2,0)),"",VLOOKUP(B67,טבלאות!$G:$H,2,0))</f>
        <v>מזון ומשקאות</v>
      </c>
      <c r="M67" s="51">
        <f t="shared" si="1"/>
        <v>75.989999999999995</v>
      </c>
    </row>
    <row r="68" spans="1:13" hidden="1">
      <c r="A68" s="135" t="s">
        <v>1355</v>
      </c>
      <c r="B68" s="135" t="s">
        <v>1608</v>
      </c>
      <c r="C68" s="135" t="s">
        <v>1607</v>
      </c>
      <c r="D68" s="174">
        <v>108</v>
      </c>
      <c r="E68" s="135" t="s">
        <v>1367</v>
      </c>
      <c r="F68" s="135" t="s">
        <v>1368</v>
      </c>
      <c r="G68" s="135" t="s">
        <v>1369</v>
      </c>
      <c r="H68" s="135" t="s">
        <v>1575</v>
      </c>
      <c r="I68" s="174">
        <v>108</v>
      </c>
      <c r="J68" s="102"/>
      <c r="K68" t="str">
        <f>IF(A68&gt;0,VLOOKUP(A68,טבלאות!$J:$K,2,0),"")</f>
        <v>אשראי מיכה</v>
      </c>
      <c r="L68" s="50" t="str">
        <f>IF(ISERROR(VLOOKUP(B68,טבלאות!$G:$H,2,0)),"",VLOOKUP(B68,טבלאות!$G:$H,2,0))</f>
        <v>בריאות</v>
      </c>
      <c r="M68" s="51">
        <f t="shared" si="1"/>
        <v>108</v>
      </c>
    </row>
    <row r="69" spans="1:13" hidden="1">
      <c r="A69" s="135" t="s">
        <v>1355</v>
      </c>
      <c r="B69" s="135" t="s">
        <v>1129</v>
      </c>
      <c r="C69" s="135" t="s">
        <v>1607</v>
      </c>
      <c r="D69" s="174">
        <v>163.78</v>
      </c>
      <c r="E69" s="135" t="s">
        <v>1367</v>
      </c>
      <c r="F69" s="135" t="s">
        <v>1368</v>
      </c>
      <c r="G69" s="135" t="s">
        <v>1369</v>
      </c>
      <c r="H69" s="135" t="s">
        <v>1575</v>
      </c>
      <c r="I69" s="174">
        <v>163.78</v>
      </c>
      <c r="J69" s="102"/>
      <c r="K69" t="str">
        <f>IF(A69&gt;0,VLOOKUP(A69,טבלאות!$J:$K,2,0),"")</f>
        <v>אשראי מיכה</v>
      </c>
      <c r="L69" s="50" t="str">
        <f>IF(ISERROR(VLOOKUP(B69,טבלאות!$G:$H,2,0)),"",VLOOKUP(B69,טבלאות!$G:$H,2,0))</f>
        <v>בריאות</v>
      </c>
      <c r="M69" s="51">
        <f t="shared" si="1"/>
        <v>163.78</v>
      </c>
    </row>
    <row r="70" spans="1:13" hidden="1">
      <c r="A70" s="135" t="s">
        <v>764</v>
      </c>
      <c r="B70" s="135" t="s">
        <v>66</v>
      </c>
      <c r="C70" s="135" t="s">
        <v>1607</v>
      </c>
      <c r="D70" s="174">
        <v>862.93</v>
      </c>
      <c r="E70" s="135" t="s">
        <v>1367</v>
      </c>
      <c r="F70" s="135" t="s">
        <v>1368</v>
      </c>
      <c r="G70" s="135" t="s">
        <v>1375</v>
      </c>
      <c r="H70" s="135" t="s">
        <v>1575</v>
      </c>
      <c r="I70" s="174">
        <v>862.93</v>
      </c>
      <c r="J70" s="102"/>
      <c r="K70" t="str">
        <f>IF(A70&gt;0,VLOOKUP(A70,טבלאות!$J:$K,2,0),"")</f>
        <v>אשראי אורנה</v>
      </c>
      <c r="L70" s="50" t="str">
        <f>IF(ISERROR(VLOOKUP(B70,טבלאות!$G:$H,2,0)),"",VLOOKUP(B70,טבלאות!$G:$H,2,0))</f>
        <v>מוצרי חשמל ותקשורת</v>
      </c>
      <c r="M70" s="51">
        <f t="shared" si="1"/>
        <v>862.93</v>
      </c>
    </row>
    <row r="71" spans="1:13" hidden="1">
      <c r="A71" s="135" t="s">
        <v>1355</v>
      </c>
      <c r="B71" s="135" t="s">
        <v>1609</v>
      </c>
      <c r="C71" s="135" t="s">
        <v>1610</v>
      </c>
      <c r="D71" s="174">
        <v>75</v>
      </c>
      <c r="E71" s="135" t="s">
        <v>1367</v>
      </c>
      <c r="F71" s="135" t="s">
        <v>1368</v>
      </c>
      <c r="G71" s="135" t="s">
        <v>1369</v>
      </c>
      <c r="H71" s="135" t="s">
        <v>1575</v>
      </c>
      <c r="I71" s="174">
        <v>75</v>
      </c>
      <c r="J71" s="102"/>
      <c r="K71" t="str">
        <f>IF(A71&gt;0,VLOOKUP(A71,טבלאות!$J:$K,2,0),"")</f>
        <v>אשראי מיכה</v>
      </c>
      <c r="L71" s="50" t="str">
        <f>IF(ISERROR(VLOOKUP(B71,טבלאות!$G:$H,2,0)),"",VLOOKUP(B71,טבלאות!$G:$H,2,0))</f>
        <v>בילוי ומסעדות</v>
      </c>
      <c r="M71" s="51">
        <f t="shared" si="1"/>
        <v>75</v>
      </c>
    </row>
    <row r="72" spans="1:13" hidden="1">
      <c r="A72" s="135" t="s">
        <v>1355</v>
      </c>
      <c r="B72" s="135" t="s">
        <v>541</v>
      </c>
      <c r="C72" s="135" t="s">
        <v>1541</v>
      </c>
      <c r="D72" s="174">
        <v>90</v>
      </c>
      <c r="E72" s="135" t="s">
        <v>1367</v>
      </c>
      <c r="F72" s="135" t="s">
        <v>1368</v>
      </c>
      <c r="G72" s="135" t="s">
        <v>1369</v>
      </c>
      <c r="H72" s="135" t="s">
        <v>1575</v>
      </c>
      <c r="I72" s="174">
        <v>90</v>
      </c>
      <c r="J72" s="102"/>
      <c r="K72" t="str">
        <f>IF(A72&gt;0,VLOOKUP(A72,טבלאות!$J:$K,2,0),"")</f>
        <v>אשראי מיכה</v>
      </c>
      <c r="L72" s="50" t="str">
        <f>IF(ISERROR(VLOOKUP(B72,טבלאות!$G:$H,2,0)),"",VLOOKUP(B72,טבלאות!$G:$H,2,0))</f>
        <v>רכב ותחבורה</v>
      </c>
      <c r="M72" s="51">
        <f t="shared" si="1"/>
        <v>90</v>
      </c>
    </row>
    <row r="73" spans="1:13" hidden="1">
      <c r="A73" s="135" t="s">
        <v>1355</v>
      </c>
      <c r="B73" s="135" t="s">
        <v>373</v>
      </c>
      <c r="C73" s="135" t="s">
        <v>1541</v>
      </c>
      <c r="D73" s="174">
        <v>12.9</v>
      </c>
      <c r="E73" s="135" t="s">
        <v>1367</v>
      </c>
      <c r="F73" s="135" t="s">
        <v>1368</v>
      </c>
      <c r="G73" s="135" t="s">
        <v>1369</v>
      </c>
      <c r="H73" s="135" t="s">
        <v>1575</v>
      </c>
      <c r="I73" s="174">
        <v>12.9</v>
      </c>
      <c r="K73" t="str">
        <f>IF(A73&gt;0,VLOOKUP(A73,טבלאות!$J:$K,2,0),"")</f>
        <v>אשראי מיכה</v>
      </c>
      <c r="L73" s="50" t="str">
        <f>IF(ISERROR(VLOOKUP(B73,טבלאות!$G:$H,2,0)),"",VLOOKUP(B73,טבלאות!$G:$H,2,0))</f>
        <v>בריאות</v>
      </c>
      <c r="M73" s="51">
        <f t="shared" si="1"/>
        <v>12.9</v>
      </c>
    </row>
    <row r="74" spans="1:13" hidden="1">
      <c r="A74" s="135" t="s">
        <v>1355</v>
      </c>
      <c r="B74" s="135" t="s">
        <v>1081</v>
      </c>
      <c r="C74" s="135" t="s">
        <v>1541</v>
      </c>
      <c r="D74" s="174">
        <v>10.75</v>
      </c>
      <c r="E74" s="135" t="s">
        <v>1367</v>
      </c>
      <c r="F74" s="135" t="s">
        <v>1368</v>
      </c>
      <c r="G74" s="135" t="s">
        <v>1369</v>
      </c>
      <c r="H74" s="135" t="s">
        <v>1575</v>
      </c>
      <c r="I74" s="174">
        <v>10.75</v>
      </c>
      <c r="K74" t="str">
        <f>IF(A74&gt;0,VLOOKUP(A74,טבלאות!$J:$K,2,0),"")</f>
        <v>אשראי מיכה</v>
      </c>
      <c r="L74" s="50" t="str">
        <f>IF(ISERROR(VLOOKUP(B74,טבלאות!$G:$H,2,0)),"",VLOOKUP(B74,טבלאות!$G:$H,2,0))</f>
        <v>מזון ומשקאות</v>
      </c>
      <c r="M74" s="51">
        <f t="shared" si="1"/>
        <v>10.75</v>
      </c>
    </row>
    <row r="75" spans="1:13" hidden="1">
      <c r="A75" s="135" t="s">
        <v>1355</v>
      </c>
      <c r="B75" s="135" t="s">
        <v>886</v>
      </c>
      <c r="C75" s="135" t="s">
        <v>1611</v>
      </c>
      <c r="D75" s="174">
        <v>58.05</v>
      </c>
      <c r="E75" s="135" t="s">
        <v>1367</v>
      </c>
      <c r="F75" s="135" t="s">
        <v>1368</v>
      </c>
      <c r="G75" s="135" t="s">
        <v>1369</v>
      </c>
      <c r="H75" s="135" t="s">
        <v>1575</v>
      </c>
      <c r="I75" s="174">
        <v>58.05</v>
      </c>
      <c r="K75" t="str">
        <f>IF(A75&gt;0,VLOOKUP(A75,טבלאות!$J:$K,2,0),"")</f>
        <v>אשראי מיכה</v>
      </c>
      <c r="L75" s="50" t="str">
        <f>IF(ISERROR(VLOOKUP(B75,טבלאות!$G:$H,2,0)),"",VLOOKUP(B75,טבלאות!$G:$H,2,0))</f>
        <v>מזון ומשקאות</v>
      </c>
      <c r="M75" s="51">
        <f t="shared" si="1"/>
        <v>58.05</v>
      </c>
    </row>
    <row r="76" spans="1:13" hidden="1">
      <c r="A76" s="135" t="s">
        <v>764</v>
      </c>
      <c r="B76" s="135" t="s">
        <v>581</v>
      </c>
      <c r="C76" s="135" t="s">
        <v>1611</v>
      </c>
      <c r="D76" s="174">
        <v>780</v>
      </c>
      <c r="E76" s="135" t="s">
        <v>1367</v>
      </c>
      <c r="F76" s="135" t="s">
        <v>1368</v>
      </c>
      <c r="G76" s="135" t="s">
        <v>1479</v>
      </c>
      <c r="H76" s="135" t="s">
        <v>1575</v>
      </c>
      <c r="I76" s="174">
        <v>780</v>
      </c>
      <c r="K76" t="str">
        <f>IF(A76&gt;0,VLOOKUP(A76,טבלאות!$J:$K,2,0),"")</f>
        <v>אשראי אורנה</v>
      </c>
      <c r="L76" s="50" t="str">
        <f>IF(ISERROR(VLOOKUP(B76,טבלאות!$G:$H,2,0)),"",VLOOKUP(B76,טבלאות!$G:$H,2,0))</f>
        <v>חוגים</v>
      </c>
      <c r="M76" s="51">
        <f t="shared" si="1"/>
        <v>780</v>
      </c>
    </row>
    <row r="77" spans="1:13" hidden="1">
      <c r="A77" s="135" t="s">
        <v>1355</v>
      </c>
      <c r="B77" s="135" t="s">
        <v>1250</v>
      </c>
      <c r="C77" s="135" t="s">
        <v>1612</v>
      </c>
      <c r="D77" s="174">
        <v>40</v>
      </c>
      <c r="E77" s="135" t="s">
        <v>1367</v>
      </c>
      <c r="F77" s="135" t="s">
        <v>1368</v>
      </c>
      <c r="G77" s="135" t="s">
        <v>1369</v>
      </c>
      <c r="H77" s="135" t="s">
        <v>1575</v>
      </c>
      <c r="I77" s="174">
        <v>40</v>
      </c>
      <c r="K77" t="str">
        <f>IF(A77&gt;0,VLOOKUP(A77,טבלאות!$J:$K,2,0),"")</f>
        <v>אשראי מיכה</v>
      </c>
      <c r="L77" s="50" t="str">
        <f>IF(ISERROR(VLOOKUP(B77,טבלאות!$G:$H,2,0)),"",VLOOKUP(B77,טבלאות!$G:$H,2,0))</f>
        <v>בית וגן</v>
      </c>
      <c r="M77" s="51">
        <f t="shared" si="1"/>
        <v>40</v>
      </c>
    </row>
    <row r="78" spans="1:13" hidden="1">
      <c r="A78" s="135" t="s">
        <v>1355</v>
      </c>
      <c r="B78" s="135" t="s">
        <v>1194</v>
      </c>
      <c r="C78" s="135" t="s">
        <v>1612</v>
      </c>
      <c r="D78" s="174">
        <v>78.400000000000006</v>
      </c>
      <c r="E78" s="135" t="s">
        <v>1367</v>
      </c>
      <c r="F78" s="135" t="s">
        <v>1368</v>
      </c>
      <c r="G78" s="135" t="s">
        <v>1369</v>
      </c>
      <c r="H78" s="135" t="s">
        <v>1575</v>
      </c>
      <c r="I78" s="174">
        <v>78.400000000000006</v>
      </c>
      <c r="K78" t="str">
        <f>IF(A78&gt;0,VLOOKUP(A78,טבלאות!$J:$K,2,0),"")</f>
        <v>אשראי מיכה</v>
      </c>
      <c r="L78" s="50" t="str">
        <f>IF(ISERROR(VLOOKUP(B78,טבלאות!$G:$H,2,0)),"",VLOOKUP(B78,טבלאות!$G:$H,2,0))</f>
        <v>מזון ומשקאות</v>
      </c>
      <c r="M78" s="51">
        <f t="shared" si="1"/>
        <v>78.400000000000006</v>
      </c>
    </row>
    <row r="79" spans="1:13" hidden="1">
      <c r="A79" s="135" t="s">
        <v>764</v>
      </c>
      <c r="B79" s="135" t="s">
        <v>516</v>
      </c>
      <c r="C79" s="135" t="s">
        <v>1612</v>
      </c>
      <c r="D79" s="174">
        <v>30</v>
      </c>
      <c r="E79" s="135" t="s">
        <v>1367</v>
      </c>
      <c r="F79" s="135" t="s">
        <v>1368</v>
      </c>
      <c r="G79" s="135" t="s">
        <v>1375</v>
      </c>
      <c r="H79" s="135" t="s">
        <v>1575</v>
      </c>
      <c r="I79" s="174">
        <v>30</v>
      </c>
      <c r="K79" t="str">
        <f>IF(A79&gt;0,VLOOKUP(A79,טבלאות!$J:$K,2,0),"")</f>
        <v>אשראי אורנה</v>
      </c>
      <c r="L79" s="50" t="str">
        <f>IF(ISERROR(VLOOKUP(B79,טבלאות!$G:$H,2,0)),"",VLOOKUP(B79,טבלאות!$G:$H,2,0))</f>
        <v>שונות</v>
      </c>
      <c r="M79" s="51">
        <f t="shared" si="1"/>
        <v>30</v>
      </c>
    </row>
    <row r="80" spans="1:13" hidden="1">
      <c r="A80" s="135" t="s">
        <v>764</v>
      </c>
      <c r="B80" s="135" t="s">
        <v>113</v>
      </c>
      <c r="C80" s="135" t="s">
        <v>1418</v>
      </c>
      <c r="D80" s="174">
        <v>2430</v>
      </c>
      <c r="E80" s="135" t="s">
        <v>1367</v>
      </c>
      <c r="F80" s="135" t="s">
        <v>1383</v>
      </c>
      <c r="G80" s="135" t="s">
        <v>1613</v>
      </c>
      <c r="H80" s="135" t="s">
        <v>1575</v>
      </c>
      <c r="I80" s="174">
        <v>270</v>
      </c>
      <c r="K80" t="str">
        <f>IF(A80&gt;0,VLOOKUP(A80,טבלאות!$J:$K,2,0),"")</f>
        <v>אשראי אורנה</v>
      </c>
      <c r="L80" s="50" t="str">
        <f>IF(ISERROR(VLOOKUP(B80,טבלאות!$G:$H,2,0)),"",VLOOKUP(B80,טבלאות!$G:$H,2,0))</f>
        <v>חוגים</v>
      </c>
      <c r="M80" s="51">
        <f t="shared" si="1"/>
        <v>270</v>
      </c>
    </row>
    <row r="81" spans="1:13" hidden="1">
      <c r="A81" s="135" t="s">
        <v>1355</v>
      </c>
      <c r="B81" s="135" t="s">
        <v>1614</v>
      </c>
      <c r="C81" s="137">
        <v>46180</v>
      </c>
      <c r="D81" s="175">
        <v>17.59</v>
      </c>
      <c r="E81" s="135"/>
      <c r="F81" s="135"/>
      <c r="G81" s="135"/>
      <c r="H81" s="135" t="s">
        <v>1575</v>
      </c>
      <c r="I81" s="174">
        <v>53.32</v>
      </c>
      <c r="K81" t="str">
        <f>IF(A81&gt;0,VLOOKUP(A81,טבלאות!$J:$K,2,0),"")</f>
        <v>אשראי מיכה</v>
      </c>
      <c r="L81" s="50" t="str">
        <f>IF(ISERROR(VLOOKUP(B81,טבלאות!$G:$H,2,0)),"",VLOOKUP(B81,טבלאות!$G:$H,2,0))</f>
        <v>בית וגן</v>
      </c>
      <c r="M81" s="51">
        <f t="shared" si="1"/>
        <v>53.32</v>
      </c>
    </row>
    <row r="82" spans="1:13" hidden="1">
      <c r="A82" t="s">
        <v>626</v>
      </c>
      <c r="B82" s="138" t="s">
        <v>1615</v>
      </c>
      <c r="C82" s="137">
        <v>46167</v>
      </c>
      <c r="D82" s="139">
        <v>297</v>
      </c>
      <c r="E82" s="138"/>
      <c r="F82" s="138"/>
      <c r="G82" s="138"/>
      <c r="H82" s="135" t="s">
        <v>1575</v>
      </c>
      <c r="I82" s="139">
        <v>297</v>
      </c>
      <c r="K82" t="str">
        <f>IF(A82&gt;0,VLOOKUP(A82,טבלאות!$J:$K,2,0),"")</f>
        <v>שופרסל</v>
      </c>
      <c r="L82" s="50" t="str">
        <f>IF(ISERROR(VLOOKUP(B82,טבלאות!$G:$H,2,0)),"",VLOOKUP(B82,טבלאות!$G:$H,2,0))</f>
        <v>מוצרי חשמל ותקשורת</v>
      </c>
      <c r="M82" s="51">
        <f t="shared" si="1"/>
        <v>297</v>
      </c>
    </row>
    <row r="83" spans="1:13" hidden="1">
      <c r="A83" t="s">
        <v>626</v>
      </c>
      <c r="B83" s="138" t="s">
        <v>1219</v>
      </c>
      <c r="C83" s="137">
        <v>46166</v>
      </c>
      <c r="D83" s="139">
        <v>35.9</v>
      </c>
      <c r="E83" s="138"/>
      <c r="F83" s="138"/>
      <c r="G83" s="138"/>
      <c r="H83" s="135" t="s">
        <v>1575</v>
      </c>
      <c r="I83" s="139">
        <v>35.9</v>
      </c>
      <c r="K83" t="str">
        <f>IF(A83&gt;0,VLOOKUP(A83,טבלאות!$J:$K,2,0),"")</f>
        <v>שופרסל</v>
      </c>
      <c r="L83" s="50" t="str">
        <f>IF(ISERROR(VLOOKUP(B83,טבלאות!$G:$H,2,0)),"",VLOOKUP(B83,טבלאות!$G:$H,2,0))</f>
        <v>מזון ומשקאות</v>
      </c>
      <c r="M83" s="51">
        <f t="shared" si="1"/>
        <v>35.9</v>
      </c>
    </row>
    <row r="84" spans="1:13" hidden="1">
      <c r="A84" t="s">
        <v>626</v>
      </c>
      <c r="B84" s="138" t="s">
        <v>1437</v>
      </c>
      <c r="C84" s="137">
        <v>46166</v>
      </c>
      <c r="D84" s="139">
        <v>83.57</v>
      </c>
      <c r="E84" s="138"/>
      <c r="F84" s="138"/>
      <c r="G84" s="138"/>
      <c r="H84" s="135" t="s">
        <v>1575</v>
      </c>
      <c r="I84" s="139">
        <v>83.57</v>
      </c>
      <c r="K84" t="str">
        <f>IF(A84&gt;0,VLOOKUP(A84,טבלאות!$J:$K,2,0),"")</f>
        <v>שופרסל</v>
      </c>
      <c r="L84" s="50" t="str">
        <f>IF(ISERROR(VLOOKUP(B84,טבלאות!$G:$H,2,0)),"",VLOOKUP(B84,טבלאות!$G:$H,2,0))</f>
        <v>מתנות ומזכרות</v>
      </c>
      <c r="M84" s="51">
        <f t="shared" si="1"/>
        <v>83.57</v>
      </c>
    </row>
    <row r="85" spans="1:13" hidden="1">
      <c r="A85" t="s">
        <v>626</v>
      </c>
      <c r="B85" s="138" t="s">
        <v>1318</v>
      </c>
      <c r="C85" s="137">
        <v>46162</v>
      </c>
      <c r="D85" s="139">
        <v>105</v>
      </c>
      <c r="E85" s="138"/>
      <c r="F85" s="138"/>
      <c r="G85" s="138"/>
      <c r="H85" s="135" t="s">
        <v>1575</v>
      </c>
      <c r="I85" s="139">
        <v>105</v>
      </c>
      <c r="K85" t="str">
        <f>IF(A85&gt;0,VLOOKUP(A85,טבלאות!$J:$K,2,0),"")</f>
        <v>שופרסל</v>
      </c>
      <c r="L85" s="50" t="str">
        <f>IF(ISERROR(VLOOKUP(B85,טבלאות!$G:$H,2,0)),"",VLOOKUP(B85,טבלאות!$G:$H,2,0))</f>
        <v>מזון ומשקאות</v>
      </c>
      <c r="M85" s="51">
        <f t="shared" si="1"/>
        <v>105</v>
      </c>
    </row>
    <row r="86" spans="1:13" hidden="1">
      <c r="A86" t="s">
        <v>626</v>
      </c>
      <c r="B86" s="138" t="s">
        <v>1616</v>
      </c>
      <c r="C86" s="137">
        <v>46155</v>
      </c>
      <c r="D86" s="139">
        <v>85</v>
      </c>
      <c r="E86" s="138"/>
      <c r="F86" s="138"/>
      <c r="G86" s="138"/>
      <c r="H86" s="135" t="s">
        <v>1575</v>
      </c>
      <c r="I86" s="139">
        <v>85</v>
      </c>
      <c r="K86" t="str">
        <f>IF(A86&gt;0,VLOOKUP(A86,טבלאות!$J:$K,2,0),"")</f>
        <v>שופרסל</v>
      </c>
      <c r="L86" s="50" t="str">
        <f>IF(ISERROR(VLOOKUP(B86,טבלאות!$G:$H,2,0)),"",VLOOKUP(B86,טבלאות!$G:$H,2,0))</f>
        <v>בילוי ומסעדות</v>
      </c>
      <c r="M86" s="51">
        <f t="shared" si="1"/>
        <v>85</v>
      </c>
    </row>
    <row r="87" spans="1:13" hidden="1">
      <c r="A87" t="s">
        <v>626</v>
      </c>
      <c r="B87" s="138" t="s">
        <v>568</v>
      </c>
      <c r="C87" s="137">
        <v>46154</v>
      </c>
      <c r="D87" s="139">
        <v>60</v>
      </c>
      <c r="E87" s="138"/>
      <c r="F87" s="138"/>
      <c r="G87" s="138"/>
      <c r="H87" s="135" t="s">
        <v>1575</v>
      </c>
      <c r="I87" s="139">
        <v>60</v>
      </c>
      <c r="K87" t="str">
        <f>IF(A87&gt;0,VLOOKUP(A87,טבלאות!$J:$K,2,0),"")</f>
        <v>שופרסל</v>
      </c>
      <c r="L87" s="50" t="str">
        <f>IF(ISERROR(VLOOKUP(B87,טבלאות!$G:$H,2,0)),"",VLOOKUP(B87,טבלאות!$G:$H,2,0))</f>
        <v>רכב ותחבורה</v>
      </c>
      <c r="M87" s="51">
        <f t="shared" si="1"/>
        <v>60</v>
      </c>
    </row>
    <row r="88" spans="1:13" hidden="1">
      <c r="A88" t="s">
        <v>626</v>
      </c>
      <c r="B88" s="138" t="s">
        <v>1526</v>
      </c>
      <c r="C88" s="137">
        <v>46151</v>
      </c>
      <c r="D88" s="141">
        <v>20</v>
      </c>
      <c r="E88" s="138"/>
      <c r="F88" s="138"/>
      <c r="G88" s="138"/>
      <c r="H88" s="135" t="s">
        <v>1575</v>
      </c>
      <c r="I88" s="139">
        <v>59.88</v>
      </c>
      <c r="J88" s="108"/>
      <c r="K88" t="str">
        <f>IF(A88&gt;0,VLOOKUP(A88,טבלאות!$J:$K,2,0),"")</f>
        <v>שופרסל</v>
      </c>
      <c r="L88" s="50" t="str">
        <f>IF(ISERROR(VLOOKUP(B88,טבלאות!$G:$H,2,0)),"",VLOOKUP(B88,טבלאות!$G:$H,2,0))</f>
        <v>מוצרי חשמל ותקשורת</v>
      </c>
      <c r="M88" s="51">
        <f t="shared" si="1"/>
        <v>59.88</v>
      </c>
    </row>
    <row r="89" spans="1:13" hidden="1">
      <c r="A89" t="s">
        <v>626</v>
      </c>
      <c r="B89" s="138" t="s">
        <v>1448</v>
      </c>
      <c r="C89" s="137">
        <v>46148</v>
      </c>
      <c r="D89" s="139">
        <v>23.25</v>
      </c>
      <c r="E89" s="138"/>
      <c r="F89" s="138"/>
      <c r="G89" s="138"/>
      <c r="H89" s="135" t="s">
        <v>1575</v>
      </c>
      <c r="I89" s="139">
        <v>23.25</v>
      </c>
      <c r="K89" t="str">
        <f>IF(A89&gt;0,VLOOKUP(A89,טבלאות!$J:$K,2,0),"")</f>
        <v>שופרסל</v>
      </c>
      <c r="L89" s="50" t="str">
        <f>IF(ISERROR(VLOOKUP(B89,טבלאות!$G:$H,2,0)),"",VLOOKUP(B89,טבלאות!$G:$H,2,0))</f>
        <v>מזון ומשקאות</v>
      </c>
      <c r="M89" s="51">
        <f t="shared" si="1"/>
        <v>23.25</v>
      </c>
    </row>
    <row r="90" spans="1:13" hidden="1">
      <c r="A90" t="s">
        <v>626</v>
      </c>
      <c r="B90" s="138" t="s">
        <v>109</v>
      </c>
      <c r="C90" s="137">
        <v>46146</v>
      </c>
      <c r="D90" s="139">
        <v>12.9</v>
      </c>
      <c r="E90" s="138"/>
      <c r="F90" s="138"/>
      <c r="G90" s="138"/>
      <c r="H90" s="135" t="s">
        <v>1575</v>
      </c>
      <c r="I90" s="139"/>
      <c r="K90" t="str">
        <f>IF(A90&gt;0,VLOOKUP(A90,טבלאות!$J:$K,2,0),"")</f>
        <v>שופרסל</v>
      </c>
      <c r="L90" s="50" t="str">
        <f>IF(ISERROR(VLOOKUP(B90,טבלאות!$G:$H,2,0)),"",VLOOKUP(B90,טבלאות!$G:$H,2,0))</f>
        <v>שירותי בנקאות</v>
      </c>
      <c r="M90" s="51">
        <f t="shared" si="1"/>
        <v>0</v>
      </c>
    </row>
    <row r="91" spans="1:13" hidden="1">
      <c r="A91" t="s">
        <v>626</v>
      </c>
      <c r="B91" s="138" t="s">
        <v>1617</v>
      </c>
      <c r="C91" s="137">
        <v>46146</v>
      </c>
      <c r="D91" s="141">
        <v>10</v>
      </c>
      <c r="E91" s="138"/>
      <c r="F91" s="138"/>
      <c r="G91" s="138"/>
      <c r="H91" s="135" t="s">
        <v>1575</v>
      </c>
      <c r="I91" s="139">
        <v>30.32</v>
      </c>
      <c r="K91" t="str">
        <f>IF(A91&gt;0,VLOOKUP(A91,טבלאות!$J:$K,2,0),"")</f>
        <v>שופרסל</v>
      </c>
      <c r="L91" s="50" t="str">
        <f>IF(ISERROR(VLOOKUP(B91,טבלאות!$G:$H,2,0)),"",VLOOKUP(B91,טבלאות!$G:$H,2,0))</f>
        <v>מוצרי חשמל ותקשורת</v>
      </c>
      <c r="M91" s="51">
        <f t="shared" si="1"/>
        <v>30.32</v>
      </c>
    </row>
    <row r="92" spans="1:13" hidden="1">
      <c r="A92" t="s">
        <v>626</v>
      </c>
      <c r="B92" s="138" t="s">
        <v>1219</v>
      </c>
      <c r="C92" s="137">
        <v>46145</v>
      </c>
      <c r="D92" s="139">
        <v>49.95</v>
      </c>
      <c r="E92" s="138"/>
      <c r="F92" s="138"/>
      <c r="G92" s="138"/>
      <c r="H92" s="135" t="s">
        <v>1575</v>
      </c>
      <c r="I92" s="139">
        <v>49.95</v>
      </c>
      <c r="K92" t="str">
        <f>IF(A92&gt;0,VLOOKUP(A92,טבלאות!$J:$K,2,0),"")</f>
        <v>שופרסל</v>
      </c>
      <c r="L92" s="50" t="str">
        <f>IF(ISERROR(VLOOKUP(B92,טבלאות!$G:$H,2,0)),"",VLOOKUP(B92,טבלאות!$G:$H,2,0))</f>
        <v>מזון ומשקאות</v>
      </c>
      <c r="M92" s="51">
        <f t="shared" si="1"/>
        <v>49.95</v>
      </c>
    </row>
    <row r="93" spans="1:13" hidden="1">
      <c r="A93" t="s">
        <v>626</v>
      </c>
      <c r="B93" s="138" t="s">
        <v>480</v>
      </c>
      <c r="C93" s="137">
        <v>46143</v>
      </c>
      <c r="D93" s="139">
        <v>22.2</v>
      </c>
      <c r="E93" s="138"/>
      <c r="F93" s="138"/>
      <c r="G93" s="138"/>
      <c r="H93" s="135" t="s">
        <v>1575</v>
      </c>
      <c r="I93" s="139">
        <v>22.2</v>
      </c>
      <c r="K93" t="str">
        <f>IF(A93&gt;0,VLOOKUP(A93,טבלאות!$J:$K,2,0),"")</f>
        <v>שופרסל</v>
      </c>
      <c r="L93" s="50" t="str">
        <f>IF(ISERROR(VLOOKUP(B93,טבלאות!$G:$H,2,0)),"",VLOOKUP(B93,טבלאות!$G:$H,2,0))</f>
        <v>מזון ומשקאות</v>
      </c>
      <c r="M93" s="51">
        <f t="shared" si="1"/>
        <v>22.2</v>
      </c>
    </row>
    <row r="94" spans="1:13" hidden="1">
      <c r="A94" t="s">
        <v>626</v>
      </c>
      <c r="B94" s="138" t="s">
        <v>930</v>
      </c>
      <c r="C94" s="137">
        <v>46143</v>
      </c>
      <c r="D94" s="139">
        <v>18.8</v>
      </c>
      <c r="E94" s="138"/>
      <c r="F94" s="138"/>
      <c r="G94" s="138"/>
      <c r="H94" s="135" t="s">
        <v>1575</v>
      </c>
      <c r="I94" s="139">
        <v>18.8</v>
      </c>
      <c r="K94" t="str">
        <f>IF(A94&gt;0,VLOOKUP(A94,טבלאות!$J:$K,2,0),"")</f>
        <v>שופרסל</v>
      </c>
      <c r="L94" s="50" t="str">
        <f>IF(ISERROR(VLOOKUP(B94,טבלאות!$G:$H,2,0)),"",VLOOKUP(B94,טבלאות!$G:$H,2,0))</f>
        <v>מזון ומשקאות</v>
      </c>
      <c r="M94" s="51">
        <f t="shared" si="1"/>
        <v>18.8</v>
      </c>
    </row>
    <row r="95" spans="1:13" hidden="1">
      <c r="A95" t="s">
        <v>665</v>
      </c>
      <c r="B95" s="138" t="s">
        <v>1257</v>
      </c>
      <c r="C95" s="137">
        <v>46163</v>
      </c>
      <c r="D95" s="139">
        <v>8337.39</v>
      </c>
      <c r="E95" s="138"/>
      <c r="F95" s="138"/>
      <c r="G95" s="138"/>
      <c r="H95" s="135" t="s">
        <v>1575</v>
      </c>
      <c r="I95" s="139">
        <v>8337.39</v>
      </c>
      <c r="K95" t="str">
        <f>IF(A95&gt;0,VLOOKUP(A95,טבלאות!$J:$K,2,0),"")</f>
        <v>בהצדעה</v>
      </c>
      <c r="L95" s="50" t="str">
        <f>IF(ISERROR(VLOOKUP(B95,טבלאות!$G:$H,2,0)),"",VLOOKUP(B95,טבלאות!$G:$H,2,0))</f>
        <v>נופש</v>
      </c>
      <c r="M95" s="51">
        <f t="shared" si="1"/>
        <v>8337.39</v>
      </c>
    </row>
    <row r="96" spans="1:13" hidden="1">
      <c r="A96" t="s">
        <v>1346</v>
      </c>
      <c r="B96" s="105" t="s">
        <v>1257</v>
      </c>
      <c r="C96" s="137">
        <v>46173</v>
      </c>
      <c r="D96" s="139">
        <v>5431.35</v>
      </c>
      <c r="H96" s="135" t="s">
        <v>1575</v>
      </c>
      <c r="I96" s="139">
        <v>5431.35</v>
      </c>
      <c r="K96" t="str">
        <f>IF(A96&gt;0,VLOOKUP(A96,טבלאות!$J:$K,2,0),"")</f>
        <v>הסתדרות</v>
      </c>
      <c r="L96" s="50" t="str">
        <f>IF(ISERROR(VLOOKUP(B96,טבלאות!$G:$H,2,0)),"",VLOOKUP(B96,טבלאות!$G:$H,2,0))</f>
        <v>נופש</v>
      </c>
      <c r="M96" s="51">
        <f t="shared" si="1"/>
        <v>5431.35</v>
      </c>
    </row>
    <row r="97" spans="1:13" hidden="1">
      <c r="A97" t="s">
        <v>1346</v>
      </c>
      <c r="B97" s="105" t="s">
        <v>1618</v>
      </c>
      <c r="C97" s="137">
        <v>46155</v>
      </c>
      <c r="D97" s="139">
        <v>2359.4899999999998</v>
      </c>
      <c r="H97" s="135" t="s">
        <v>1575</v>
      </c>
      <c r="I97" s="139">
        <v>2359.4899999999998</v>
      </c>
      <c r="K97" t="str">
        <f>IF(A97&gt;0,VLOOKUP(A97,טבלאות!$J:$K,2,0),"")</f>
        <v>הסתדרות</v>
      </c>
      <c r="L97" s="50" t="str">
        <f>IF(ISERROR(VLOOKUP(B97,טבלאות!$G:$H,2,0)),"",VLOOKUP(B97,טבלאות!$G:$H,2,0))</f>
        <v>נופש</v>
      </c>
      <c r="M97" s="51">
        <f t="shared" si="1"/>
        <v>2359.4899999999998</v>
      </c>
    </row>
    <row r="98" spans="1:13">
      <c r="A98">
        <v>9973</v>
      </c>
      <c r="B98" s="113" t="s">
        <v>1205</v>
      </c>
      <c r="C98" s="116">
        <v>46153</v>
      </c>
      <c r="D98" s="114">
        <v>158.33000000000001</v>
      </c>
      <c r="E98" s="113"/>
      <c r="F98" s="113"/>
      <c r="G98" s="113"/>
      <c r="H98" s="135" t="s">
        <v>1575</v>
      </c>
      <c r="I98" s="114">
        <v>158.33000000000001</v>
      </c>
      <c r="K98" t="str">
        <f>IF(A98&gt;0,VLOOKUP(A98,טבלאות!$J:$K,2,0),"")</f>
        <v>ישראכרט אורנה</v>
      </c>
      <c r="L98" s="50" t="str">
        <f>IF(ISERROR(VLOOKUP(B98,טבלאות!$G:$H,2,0)),"",VLOOKUP(B98,טבלאות!$G:$H,2,0))</f>
        <v>ביטוח</v>
      </c>
      <c r="M98" s="51">
        <f t="shared" si="1"/>
        <v>158.33000000000001</v>
      </c>
    </row>
    <row r="99" spans="1:13">
      <c r="A99">
        <v>9973</v>
      </c>
      <c r="B99" s="113" t="s">
        <v>1205</v>
      </c>
      <c r="C99" s="116">
        <v>46153</v>
      </c>
      <c r="D99" s="114">
        <v>154.29</v>
      </c>
      <c r="E99" s="113"/>
      <c r="F99" s="113"/>
      <c r="G99" s="113"/>
      <c r="H99" s="135" t="s">
        <v>1575</v>
      </c>
      <c r="I99" s="114">
        <v>154.29</v>
      </c>
      <c r="K99" t="str">
        <f>IF(A99&gt;0,VLOOKUP(A99,טבלאות!$J:$K,2,0),"")</f>
        <v>ישראכרט אורנה</v>
      </c>
      <c r="L99" s="50" t="str">
        <f>IF(ISERROR(VLOOKUP(B99,טבלאות!$G:$H,2,0)),"",VLOOKUP(B99,טבלאות!$G:$H,2,0))</f>
        <v>ביטוח</v>
      </c>
      <c r="M99" s="51">
        <f t="shared" si="1"/>
        <v>154.29</v>
      </c>
    </row>
    <row r="100" spans="1:13">
      <c r="A100">
        <v>9973</v>
      </c>
      <c r="B100" s="113" t="s">
        <v>1205</v>
      </c>
      <c r="C100" s="116">
        <v>46153</v>
      </c>
      <c r="D100" s="114">
        <v>61.2</v>
      </c>
      <c r="E100" s="113"/>
      <c r="F100" s="113"/>
      <c r="G100" s="113"/>
      <c r="H100" s="135" t="s">
        <v>1575</v>
      </c>
      <c r="I100" s="114">
        <v>61.2</v>
      </c>
      <c r="K100" t="str">
        <f>IF(A100&gt;0,VLOOKUP(A100,טבלאות!$J:$K,2,0),"")</f>
        <v>ישראכרט אורנה</v>
      </c>
      <c r="L100" s="50" t="str">
        <f>IF(ISERROR(VLOOKUP(B100,טבלאות!$G:$H,2,0)),"",VLOOKUP(B100,טבלאות!$G:$H,2,0))</f>
        <v>ביטוח</v>
      </c>
      <c r="M100" s="51">
        <f t="shared" si="1"/>
        <v>61.2</v>
      </c>
    </row>
    <row r="101" spans="1:13">
      <c r="A101">
        <v>9973</v>
      </c>
      <c r="B101" s="113" t="s">
        <v>1205</v>
      </c>
      <c r="C101" s="116">
        <v>46153</v>
      </c>
      <c r="D101" s="114">
        <v>61.2</v>
      </c>
      <c r="E101" s="113"/>
      <c r="F101" s="113"/>
      <c r="G101" s="113"/>
      <c r="H101" s="135" t="s">
        <v>1575</v>
      </c>
      <c r="I101" s="114">
        <v>61.2</v>
      </c>
      <c r="K101" t="str">
        <f>IF(A101&gt;0,VLOOKUP(A101,טבלאות!$J:$K,2,0),"")</f>
        <v>ישראכרט אורנה</v>
      </c>
      <c r="L101" s="50" t="str">
        <f>IF(ISERROR(VLOOKUP(B101,טבלאות!$G:$H,2,0)),"",VLOOKUP(B101,טבלאות!$G:$H,2,0))</f>
        <v>ביטוח</v>
      </c>
      <c r="M101" s="51">
        <f t="shared" si="1"/>
        <v>61.2</v>
      </c>
    </row>
    <row r="102" spans="1:13">
      <c r="A102">
        <v>9973</v>
      </c>
      <c r="B102" s="113" t="s">
        <v>1205</v>
      </c>
      <c r="C102" s="116">
        <v>46153</v>
      </c>
      <c r="D102" s="114">
        <v>123.1</v>
      </c>
      <c r="E102" s="113"/>
      <c r="F102" s="113"/>
      <c r="G102" s="113"/>
      <c r="H102" s="135" t="s">
        <v>1575</v>
      </c>
      <c r="I102" s="114">
        <v>123.1</v>
      </c>
      <c r="K102" t="str">
        <f>IF(A102&gt;0,VLOOKUP(A102,טבלאות!$J:$K,2,0),"")</f>
        <v>ישראכרט אורנה</v>
      </c>
      <c r="L102" s="50" t="str">
        <f>IF(ISERROR(VLOOKUP(B102,טבלאות!$G:$H,2,0)),"",VLOOKUP(B102,טבלאות!$G:$H,2,0))</f>
        <v>ביטוח</v>
      </c>
      <c r="M102" s="51">
        <f t="shared" si="1"/>
        <v>123.1</v>
      </c>
    </row>
    <row r="103" spans="1:13" hidden="1">
      <c r="A103">
        <v>9973</v>
      </c>
      <c r="B103" s="113" t="s">
        <v>1619</v>
      </c>
      <c r="C103" s="55">
        <v>46161</v>
      </c>
      <c r="D103" s="114">
        <v>229</v>
      </c>
      <c r="H103" s="135" t="s">
        <v>1575</v>
      </c>
      <c r="I103" s="114">
        <v>229</v>
      </c>
      <c r="K103" t="str">
        <f>IF(A103&gt;0,VLOOKUP(A103,טבלאות!$J:$K,2,0),"")</f>
        <v>ישראכרט אורנה</v>
      </c>
      <c r="L103" s="50" t="str">
        <f>IF(ISERROR(VLOOKUP(B103,טבלאות!$G:$H,2,0)),"",VLOOKUP(B103,טבלאות!$G:$H,2,0))</f>
        <v>מתנות ומזכרות</v>
      </c>
      <c r="M103" s="51">
        <f t="shared" si="1"/>
        <v>229</v>
      </c>
    </row>
    <row r="104" spans="1:13" hidden="1"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1:13" hidden="1">
      <c r="L105" s="50" t="str">
        <f>IF(ISERROR(VLOOKUP(B105,טבלאות!$G:$H,2,0)),"",VLOOKUP(B105,טבלאות!$G:$H,2,0))</f>
        <v/>
      </c>
      <c r="M105" s="51" t="str">
        <f t="shared" si="1"/>
        <v/>
      </c>
    </row>
    <row r="106" spans="1:13" hidden="1">
      <c r="L106" s="50" t="str">
        <f>IF(ISERROR(VLOOKUP(B106,טבלאות!$G:$H,2,0)),"",VLOOKUP(B106,טבלאות!$G:$H,2,0))</f>
        <v/>
      </c>
      <c r="M106" s="51" t="str">
        <f t="shared" si="1"/>
        <v/>
      </c>
    </row>
    <row r="107" spans="1:13" hidden="1">
      <c r="L107" s="50" t="str">
        <f>IF(ISERROR(VLOOKUP(B107,טבלאות!$G:$H,2,0)),"",VLOOKUP(B107,טבלאות!$G:$H,2,0))</f>
        <v/>
      </c>
      <c r="M107" s="51" t="str">
        <f t="shared" si="1"/>
        <v/>
      </c>
    </row>
    <row r="108" spans="1:13" hidden="1">
      <c r="L108" s="50" t="str">
        <f>IF(ISERROR(VLOOKUP(B108,טבלאות!$G:$H,2,0)),"",VLOOKUP(B108,טבלאות!$G:$H,2,0))</f>
        <v/>
      </c>
      <c r="M108" s="51" t="str">
        <f t="shared" si="1"/>
        <v/>
      </c>
    </row>
    <row r="109" spans="1:13" hidden="1"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1:13" hidden="1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1:13" hidden="1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1:13" hidden="1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 hidden="1">
      <c r="L113" s="50" t="str">
        <f>IF(ISERROR(VLOOKUP(B113,טבלאות!$G:$H,2,0)),"",VLOOKUP(B113,טבלאות!$G:$H,2,0))</f>
        <v/>
      </c>
      <c r="M113" s="51" t="str">
        <f t="shared" si="1"/>
        <v/>
      </c>
    </row>
  </sheetData>
  <autoFilter ref="A1:N113" xr:uid="{00000000-0009-0000-0000-000009000000}">
    <filterColumn colId="11">
      <filters>
        <filter val="ביטוח"/>
      </filters>
    </filterColumn>
  </autoFilter>
  <conditionalFormatting sqref="L2:L113">
    <cfRule type="cellIs" dxfId="6" priority="1" operator="equal">
      <formula>""</formula>
    </cfRule>
  </conditionalFormatting>
  <dataValidations count="2">
    <dataValidation type="list" allowBlank="1" showInputMessage="1" showErrorMessage="1" sqref="L2:L113" xr:uid="{E18963CA-50E3-4452-A2EC-E24C4BC3859E}">
      <formula1>סוגי_הוצאות</formula1>
    </dataValidation>
    <dataValidation type="list" allowBlank="1" showInputMessage="1" showErrorMessage="1" sqref="K2:K113" xr:uid="{2BB44A6D-04B4-4650-9CFF-4BF78682601A}">
      <formula1>סוג_כרטיס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G123"/>
  <sheetViews>
    <sheetView rightToLeft="1" workbookViewId="0">
      <pane xSplit="3" ySplit="1" topLeftCell="G5" activePane="bottomRight" state="frozen"/>
      <selection pane="topRight" activeCell="D1" sqref="D1"/>
      <selection pane="bottomLeft" activeCell="A2" sqref="A2"/>
      <selection pane="bottomRight" activeCell="K131" sqref="K131"/>
    </sheetView>
  </sheetViews>
  <sheetFormatPr defaultRowHeight="15"/>
  <cols>
    <col min="1" max="1" width="16.42578125" customWidth="1"/>
    <col min="2" max="2" width="2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1" max="11" width="12.140625" style="73" customWidth="1"/>
    <col min="12" max="12" width="17" style="73" bestFit="1" customWidth="1"/>
    <col min="13" max="13" width="9.140625" style="73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 ht="15" hidden="1" customHeight="1">
      <c r="A2" s="69" t="s">
        <v>764</v>
      </c>
      <c r="B2" s="135" t="s">
        <v>1098</v>
      </c>
      <c r="C2" s="137">
        <v>46199</v>
      </c>
      <c r="D2" s="174">
        <v>57.59</v>
      </c>
      <c r="E2" s="135"/>
      <c r="F2" s="135"/>
      <c r="G2" s="135"/>
      <c r="H2" s="137">
        <v>46205</v>
      </c>
      <c r="I2" s="174">
        <v>57.59</v>
      </c>
      <c r="J2" s="106"/>
      <c r="K2" t="str">
        <f>IF(A2&gt;0,VLOOKUP(A2,טבלאות!$J:$K,2,0),"")</f>
        <v>אשראי אורנה</v>
      </c>
      <c r="L2" s="50" t="str">
        <f>IF(ISERROR(VLOOKUP(B2,טבלאות!$G:$H,2,0)),"",VLOOKUP(B2,טבלאות!$G:$H,2,0))</f>
        <v>ביטוח</v>
      </c>
      <c r="M2" s="51">
        <f t="shared" ref="M2:M65" si="0">IF(OR(L2="",L2="?"),"",IF(L2&gt;0,I2,""))</f>
        <v>57.59</v>
      </c>
    </row>
    <row r="3" spans="1:111" ht="20.25" hidden="1" customHeight="1">
      <c r="A3" s="69" t="s">
        <v>764</v>
      </c>
      <c r="B3" s="135" t="s">
        <v>518</v>
      </c>
      <c r="C3" s="137">
        <v>46197</v>
      </c>
      <c r="D3" s="174">
        <v>15.28</v>
      </c>
      <c r="E3" s="135"/>
      <c r="F3" s="135"/>
      <c r="G3" s="135"/>
      <c r="H3" s="137">
        <v>46205</v>
      </c>
      <c r="I3" s="174">
        <v>15.28</v>
      </c>
      <c r="J3" s="106"/>
      <c r="K3" t="str">
        <f>IF(A3&gt;0,VLOOKUP(A3,טבלאות!$J:$K,2,0),"")</f>
        <v>אשראי אורנה</v>
      </c>
      <c r="L3" s="50" t="str">
        <f>IF(ISERROR(VLOOKUP(B3,טבלאות!$G:$H,2,0)),"",VLOOKUP(B3,טבלאות!$G:$H,2,0))</f>
        <v>מזון ומשקאות</v>
      </c>
      <c r="M3" s="51">
        <f t="shared" si="0"/>
        <v>15.28</v>
      </c>
    </row>
    <row r="4" spans="1:111" ht="15.75" hidden="1" customHeight="1">
      <c r="A4" s="69" t="s">
        <v>764</v>
      </c>
      <c r="B4" s="135" t="s">
        <v>66</v>
      </c>
      <c r="C4" s="137">
        <v>46196</v>
      </c>
      <c r="D4" s="174">
        <v>495.15</v>
      </c>
      <c r="E4" s="135"/>
      <c r="F4" s="135"/>
      <c r="G4" s="135"/>
      <c r="H4" s="137">
        <v>46205</v>
      </c>
      <c r="I4" s="174">
        <v>495.15</v>
      </c>
      <c r="J4" s="106"/>
      <c r="K4" t="str">
        <f>IF(A4&gt;0,VLOOKUP(A4,טבלאות!$J:$K,2,0),"")</f>
        <v>אשראי אורנה</v>
      </c>
      <c r="L4" s="50" t="str">
        <f>IF(ISERROR(VLOOKUP(B4,טבלאות!$G:$H,2,0)),"",VLOOKUP(B4,טבלאות!$G:$H,2,0))</f>
        <v>מוצרי חשמל ותקשורת</v>
      </c>
      <c r="M4" s="51">
        <f t="shared" si="0"/>
        <v>495.15</v>
      </c>
    </row>
    <row r="5" spans="1:111" ht="15" hidden="1" customHeight="1">
      <c r="A5" s="69" t="s">
        <v>764</v>
      </c>
      <c r="B5" s="135" t="s">
        <v>1624</v>
      </c>
      <c r="C5" s="137">
        <v>46195</v>
      </c>
      <c r="D5" s="174">
        <v>228.27</v>
      </c>
      <c r="E5" s="135"/>
      <c r="F5" s="135"/>
      <c r="G5" s="135"/>
      <c r="H5" s="137">
        <v>46205</v>
      </c>
      <c r="I5" s="174">
        <v>228.27</v>
      </c>
      <c r="J5" s="106"/>
      <c r="K5" t="str">
        <f>IF(A5&gt;0,VLOOKUP(A5,טבלאות!$J:$K,2,0),"")</f>
        <v>אשראי אורנה</v>
      </c>
      <c r="L5" s="50" t="str">
        <f>IF(ISERROR(VLOOKUP(B5,טבלאות!$G:$H,2,0)),"",VLOOKUP(B5,טבלאות!$G:$H,2,0))</f>
        <v>רכב ותחבורה</v>
      </c>
      <c r="M5" s="51">
        <f t="shared" si="0"/>
        <v>228.27</v>
      </c>
    </row>
    <row r="6" spans="1:111" ht="15" hidden="1" customHeight="1">
      <c r="A6" s="69" t="s">
        <v>764</v>
      </c>
      <c r="B6" s="135" t="s">
        <v>1620</v>
      </c>
      <c r="C6" s="137">
        <v>46194</v>
      </c>
      <c r="D6" s="174">
        <v>12.25</v>
      </c>
      <c r="E6" s="135"/>
      <c r="F6" s="135"/>
      <c r="G6" s="135"/>
      <c r="H6" s="137">
        <v>46205</v>
      </c>
      <c r="I6" s="174">
        <v>12.25</v>
      </c>
      <c r="J6" s="106"/>
      <c r="K6" t="str">
        <f>IF(A6&gt;0,VLOOKUP(A6,טבלאות!$J:$K,2,0),"")</f>
        <v>אשראי אורנה</v>
      </c>
      <c r="L6" s="50" t="str">
        <f>IF(ISERROR(VLOOKUP(B6,טבלאות!$G:$H,2,0)),"",VLOOKUP(B6,טבלאות!$G:$H,2,0))</f>
        <v>מזון ומשקאות</v>
      </c>
      <c r="M6" s="51">
        <f t="shared" si="0"/>
        <v>12.25</v>
      </c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</row>
    <row r="7" spans="1:111" hidden="1">
      <c r="A7" s="69" t="s">
        <v>764</v>
      </c>
      <c r="B7" s="135" t="s">
        <v>1567</v>
      </c>
      <c r="C7" s="137">
        <v>46194</v>
      </c>
      <c r="D7" s="175">
        <v>100.8</v>
      </c>
      <c r="E7" s="135"/>
      <c r="F7" s="135"/>
      <c r="G7" s="135"/>
      <c r="H7" s="137">
        <v>46205</v>
      </c>
      <c r="I7" s="174">
        <v>100.8</v>
      </c>
      <c r="J7" s="106"/>
      <c r="K7" t="str">
        <f>IF(A7&gt;0,VLOOKUP(A7,טבלאות!$J:$K,2,0),"")</f>
        <v>אשראי אורנה</v>
      </c>
      <c r="L7" s="50" t="str">
        <f>IF(ISERROR(VLOOKUP(B7,טבלאות!$G:$H,2,0)),"",VLOOKUP(B7,טבלאות!$G:$H,2,0))</f>
        <v>מתנות ומזכרות</v>
      </c>
      <c r="M7" s="51">
        <f t="shared" si="0"/>
        <v>100.8</v>
      </c>
    </row>
    <row r="8" spans="1:111" hidden="1">
      <c r="A8" s="69" t="s">
        <v>764</v>
      </c>
      <c r="B8" s="135" t="s">
        <v>741</v>
      </c>
      <c r="C8" s="137">
        <v>46193</v>
      </c>
      <c r="D8" s="139">
        <v>169.84</v>
      </c>
      <c r="E8" s="138"/>
      <c r="F8" s="138"/>
      <c r="G8" s="138"/>
      <c r="H8" s="137">
        <v>46205</v>
      </c>
      <c r="I8" s="139">
        <v>169.84</v>
      </c>
      <c r="J8" s="106"/>
      <c r="K8" t="str">
        <f>IF(A8&gt;0,VLOOKUP(A8,טבלאות!$J:$K,2,0),"")</f>
        <v>אשראי אורנה</v>
      </c>
      <c r="L8" s="50" t="str">
        <f>IF(ISERROR(VLOOKUP(B8,טבלאות!$G:$H,2,0)),"",VLOOKUP(B8,טבלאות!$G:$H,2,0))</f>
        <v>מוצרי חשמל ותקשורת</v>
      </c>
      <c r="M8" s="51">
        <f t="shared" si="0"/>
        <v>169.84</v>
      </c>
    </row>
    <row r="9" spans="1:111" hidden="1">
      <c r="A9" s="69" t="s">
        <v>764</v>
      </c>
      <c r="B9" s="135" t="s">
        <v>924</v>
      </c>
      <c r="C9" s="137">
        <v>46188</v>
      </c>
      <c r="D9" s="139">
        <v>350</v>
      </c>
      <c r="E9" s="138"/>
      <c r="F9" s="138"/>
      <c r="G9" s="138"/>
      <c r="H9" s="137">
        <v>46205</v>
      </c>
      <c r="I9" s="139">
        <v>350</v>
      </c>
      <c r="J9" s="106"/>
      <c r="K9" t="str">
        <f>IF(A9&gt;0,VLOOKUP(A9,טבלאות!$J:$K,2,0),"")</f>
        <v>אשראי אורנה</v>
      </c>
      <c r="L9" s="50" t="str">
        <f>IF(ISERROR(VLOOKUP(B9,טבלאות!$G:$H,2,0)),"",VLOOKUP(B9,טבלאות!$G:$H,2,0))</f>
        <v>בית וגן</v>
      </c>
      <c r="M9" s="51">
        <f t="shared" si="0"/>
        <v>350</v>
      </c>
    </row>
    <row r="10" spans="1:111" hidden="1">
      <c r="A10" s="69" t="s">
        <v>764</v>
      </c>
      <c r="B10" s="135" t="s">
        <v>1625</v>
      </c>
      <c r="C10" s="137">
        <v>46188</v>
      </c>
      <c r="D10" s="139">
        <v>229</v>
      </c>
      <c r="E10" s="138"/>
      <c r="F10" s="138"/>
      <c r="G10" s="138"/>
      <c r="H10" s="137">
        <v>46205</v>
      </c>
      <c r="I10" s="139">
        <v>229</v>
      </c>
      <c r="J10" s="106"/>
      <c r="K10" t="str">
        <f>IF(A10&gt;0,VLOOKUP(A10,טבלאות!$J:$K,2,0),"")</f>
        <v>אשראי אורנה</v>
      </c>
      <c r="L10" s="50" t="str">
        <f>IF(ISERROR(VLOOKUP(B10,טבלאות!$G:$H,2,0)),"",VLOOKUP(B10,טבלאות!$G:$H,2,0))</f>
        <v>בית וגן</v>
      </c>
      <c r="M10" s="51">
        <f t="shared" si="0"/>
        <v>229</v>
      </c>
    </row>
    <row r="11" spans="1:111" hidden="1">
      <c r="A11" s="69" t="s">
        <v>764</v>
      </c>
      <c r="B11" s="135" t="s">
        <v>1624</v>
      </c>
      <c r="C11" s="137">
        <v>46187</v>
      </c>
      <c r="D11" s="139">
        <v>242.23</v>
      </c>
      <c r="E11" s="138"/>
      <c r="F11" s="138"/>
      <c r="G11" s="138"/>
      <c r="H11" s="137">
        <v>46205</v>
      </c>
      <c r="I11" s="139">
        <v>242.23</v>
      </c>
      <c r="J11" s="106"/>
      <c r="K11" t="str">
        <f>IF(A11&gt;0,VLOOKUP(A11,טבלאות!$J:$K,2,0),"")</f>
        <v>אשראי אורנה</v>
      </c>
      <c r="L11" s="50" t="str">
        <f>IF(ISERROR(VLOOKUP(B11,טבלאות!$G:$H,2,0)),"",VLOOKUP(B11,טבלאות!$G:$H,2,0))</f>
        <v>רכב ותחבורה</v>
      </c>
      <c r="M11" s="51">
        <f t="shared" si="0"/>
        <v>242.23</v>
      </c>
    </row>
    <row r="12" spans="1:111" hidden="1">
      <c r="A12" s="69" t="s">
        <v>764</v>
      </c>
      <c r="B12" s="135" t="s">
        <v>1620</v>
      </c>
      <c r="C12" s="137">
        <v>46181</v>
      </c>
      <c r="D12" s="139">
        <v>57.6</v>
      </c>
      <c r="E12" s="138"/>
      <c r="F12" s="138"/>
      <c r="G12" s="138"/>
      <c r="H12" s="137">
        <v>46205</v>
      </c>
      <c r="I12" s="139">
        <v>57.6</v>
      </c>
      <c r="J12" s="106"/>
      <c r="K12" t="str">
        <f>IF(A12&gt;0,VLOOKUP(A12,טבלאות!$J:$K,2,0),"")</f>
        <v>אשראי אורנה</v>
      </c>
      <c r="L12" s="50" t="str">
        <f>IF(ISERROR(VLOOKUP(B12,טבלאות!$G:$H,2,0)),"",VLOOKUP(B12,טבלאות!$G:$H,2,0))</f>
        <v>מזון ומשקאות</v>
      </c>
      <c r="M12" s="51">
        <f t="shared" si="0"/>
        <v>57.6</v>
      </c>
    </row>
    <row r="13" spans="1:111" hidden="1">
      <c r="A13" s="69" t="s">
        <v>764</v>
      </c>
      <c r="B13" s="135" t="s">
        <v>518</v>
      </c>
      <c r="C13" s="137">
        <v>46181</v>
      </c>
      <c r="D13" s="139">
        <v>50.5</v>
      </c>
      <c r="E13" s="138"/>
      <c r="F13" s="138"/>
      <c r="G13" s="138"/>
      <c r="H13" s="137">
        <v>46205</v>
      </c>
      <c r="I13" s="139">
        <v>50.5</v>
      </c>
      <c r="J13" s="106"/>
      <c r="K13" t="str">
        <f>IF(A13&gt;0,VLOOKUP(A13,טבלאות!$J:$K,2,0),"")</f>
        <v>אשראי אורנה</v>
      </c>
      <c r="L13" s="50" t="str">
        <f>IF(ISERROR(VLOOKUP(B13,טבלאות!$G:$H,2,0)),"",VLOOKUP(B13,טבלאות!$G:$H,2,0))</f>
        <v>מזון ומשקאות</v>
      </c>
      <c r="M13" s="51">
        <f t="shared" si="0"/>
        <v>50.5</v>
      </c>
    </row>
    <row r="14" spans="1:111" hidden="1">
      <c r="A14" s="69" t="s">
        <v>764</v>
      </c>
      <c r="B14" s="135" t="s">
        <v>1620</v>
      </c>
      <c r="C14" s="137">
        <v>46180</v>
      </c>
      <c r="D14" s="141">
        <v>11.9</v>
      </c>
      <c r="E14" s="138"/>
      <c r="F14" s="138"/>
      <c r="G14" s="138"/>
      <c r="H14" s="137">
        <v>46205</v>
      </c>
      <c r="I14" s="139">
        <v>11.9</v>
      </c>
      <c r="J14" s="106"/>
      <c r="K14" t="str">
        <f>IF(A14&gt;0,VLOOKUP(A14,טבלאות!$J:$K,2,0),"")</f>
        <v>אשראי אורנה</v>
      </c>
      <c r="L14" s="50" t="str">
        <f>IF(ISERROR(VLOOKUP(B14,טבלאות!$G:$H,2,0)),"",VLOOKUP(B14,טבלאות!$G:$H,2,0))</f>
        <v>מזון ומשקאות</v>
      </c>
      <c r="M14" s="51">
        <f t="shared" si="0"/>
        <v>11.9</v>
      </c>
    </row>
    <row r="15" spans="1:111" hidden="1">
      <c r="A15" s="69" t="s">
        <v>764</v>
      </c>
      <c r="B15" s="135" t="s">
        <v>581</v>
      </c>
      <c r="C15" s="137">
        <v>46180</v>
      </c>
      <c r="D15" s="139">
        <v>390</v>
      </c>
      <c r="E15" s="138"/>
      <c r="F15" s="138"/>
      <c r="G15" s="138"/>
      <c r="H15" s="137">
        <v>46205</v>
      </c>
      <c r="I15" s="139">
        <v>390</v>
      </c>
      <c r="J15" s="106"/>
      <c r="K15" t="str">
        <f>IF(A15&gt;0,VLOOKUP(A15,טבלאות!$J:$K,2,0),"")</f>
        <v>אשראי אורנה</v>
      </c>
      <c r="L15" s="50" t="str">
        <f>IF(ISERROR(VLOOKUP(B15,טבלאות!$G:$H,2,0)),"",VLOOKUP(B15,טבלאות!$G:$H,2,0))</f>
        <v>חוגים</v>
      </c>
      <c r="M15" s="51">
        <f t="shared" si="0"/>
        <v>390</v>
      </c>
    </row>
    <row r="16" spans="1:111" hidden="1">
      <c r="A16" s="69" t="s">
        <v>764</v>
      </c>
      <c r="B16" s="135" t="s">
        <v>581</v>
      </c>
      <c r="C16" s="137">
        <v>46175</v>
      </c>
      <c r="D16" s="139">
        <v>130</v>
      </c>
      <c r="E16" s="138"/>
      <c r="F16" s="138"/>
      <c r="G16" s="138"/>
      <c r="H16" s="137">
        <v>46205</v>
      </c>
      <c r="I16" s="139">
        <v>130</v>
      </c>
      <c r="J16" s="106"/>
      <c r="K16" t="str">
        <f>IF(A16&gt;0,VLOOKUP(A16,טבלאות!$J:$K,2,0),"")</f>
        <v>אשראי אורנה</v>
      </c>
      <c r="L16" s="50" t="str">
        <f>IF(ISERROR(VLOOKUP(B16,טבלאות!$G:$H,2,0)),"",VLOOKUP(B16,טבלאות!$G:$H,2,0))</f>
        <v>חוגים</v>
      </c>
      <c r="M16" s="51">
        <f t="shared" si="0"/>
        <v>130</v>
      </c>
    </row>
    <row r="17" spans="1:13" hidden="1">
      <c r="A17" s="69" t="s">
        <v>764</v>
      </c>
      <c r="B17" s="135" t="s">
        <v>581</v>
      </c>
      <c r="C17" s="137">
        <v>46175</v>
      </c>
      <c r="D17" s="141">
        <v>100</v>
      </c>
      <c r="E17" s="138"/>
      <c r="F17" s="138"/>
      <c r="G17" s="138"/>
      <c r="H17" s="137">
        <v>46205</v>
      </c>
      <c r="I17" s="139">
        <v>100</v>
      </c>
      <c r="J17" s="106"/>
      <c r="K17" t="str">
        <f>IF(A17&gt;0,VLOOKUP(A17,טבלאות!$J:$K,2,0),"")</f>
        <v>אשראי אורנה</v>
      </c>
      <c r="L17" s="50" t="str">
        <f>IF(ISERROR(VLOOKUP(B17,טבלאות!$G:$H,2,0)),"",VLOOKUP(B17,טבלאות!$G:$H,2,0))</f>
        <v>חוגים</v>
      </c>
      <c r="M17" s="51">
        <f t="shared" si="0"/>
        <v>100</v>
      </c>
    </row>
    <row r="18" spans="1:13" hidden="1">
      <c r="A18" s="69" t="s">
        <v>764</v>
      </c>
      <c r="B18" s="135" t="s">
        <v>1527</v>
      </c>
      <c r="C18" s="137">
        <v>46175</v>
      </c>
      <c r="D18" s="139">
        <v>210</v>
      </c>
      <c r="E18" s="138"/>
      <c r="F18" s="138"/>
      <c r="G18" s="138"/>
      <c r="H18" s="137">
        <v>46205</v>
      </c>
      <c r="I18" s="139">
        <v>210</v>
      </c>
      <c r="J18" s="106"/>
      <c r="K18" t="str">
        <f>IF(A18&gt;0,VLOOKUP(A18,טבלאות!$J:$K,2,0),"")</f>
        <v>אשראי אורנה</v>
      </c>
      <c r="L18" s="50" t="str">
        <f>IF(ISERROR(VLOOKUP(B18,טבלאות!$G:$H,2,0)),"",VLOOKUP(B18,טבלאות!$G:$H,2,0))</f>
        <v>ילדים</v>
      </c>
      <c r="M18" s="51">
        <f t="shared" si="0"/>
        <v>210</v>
      </c>
    </row>
    <row r="19" spans="1:13" hidden="1">
      <c r="A19" s="69" t="s">
        <v>764</v>
      </c>
      <c r="B19" s="135" t="s">
        <v>1624</v>
      </c>
      <c r="C19" s="137">
        <v>46174</v>
      </c>
      <c r="D19" s="139">
        <v>265.33999999999997</v>
      </c>
      <c r="E19" s="138"/>
      <c r="F19" s="138"/>
      <c r="G19" s="138"/>
      <c r="H19" s="137">
        <v>46205</v>
      </c>
      <c r="I19" s="139">
        <v>265.33999999999997</v>
      </c>
      <c r="J19" s="106"/>
      <c r="K19" t="str">
        <f>IF(A19&gt;0,VLOOKUP(A19,טבלאות!$J:$K,2,0),"")</f>
        <v>אשראי אורנה</v>
      </c>
      <c r="L19" s="50" t="str">
        <f>IF(ISERROR(VLOOKUP(B19,טבלאות!$G:$H,2,0)),"",VLOOKUP(B19,טבלאות!$G:$H,2,0))</f>
        <v>רכב ותחבורה</v>
      </c>
      <c r="M19" s="51">
        <f t="shared" si="0"/>
        <v>265.33999999999997</v>
      </c>
    </row>
    <row r="20" spans="1:13">
      <c r="A20" s="69" t="s">
        <v>764</v>
      </c>
      <c r="B20" s="135" t="s">
        <v>516</v>
      </c>
      <c r="C20" s="137">
        <v>46174</v>
      </c>
      <c r="D20" s="139">
        <v>30</v>
      </c>
      <c r="E20" s="138"/>
      <c r="F20" s="138"/>
      <c r="G20" s="138"/>
      <c r="H20" s="137">
        <v>46205</v>
      </c>
      <c r="I20" s="139">
        <v>30</v>
      </c>
      <c r="J20" s="106"/>
      <c r="K20" t="str">
        <f>IF(A20&gt;0,VLOOKUP(A20,טבלאות!$J:$K,2,0),"")</f>
        <v>אשראי אורנה</v>
      </c>
      <c r="L20" s="50" t="str">
        <f>IF(ISERROR(VLOOKUP(B20,טבלאות!$G:$H,2,0)),"",VLOOKUP(B20,טבלאות!$G:$H,2,0))</f>
        <v>שונות</v>
      </c>
      <c r="M20" s="51">
        <f t="shared" si="0"/>
        <v>30</v>
      </c>
    </row>
    <row r="21" spans="1:13" hidden="1">
      <c r="A21" t="s">
        <v>1346</v>
      </c>
      <c r="B21" s="135" t="s">
        <v>1626</v>
      </c>
      <c r="C21" s="137">
        <v>46173</v>
      </c>
      <c r="D21" s="143">
        <v>32</v>
      </c>
      <c r="E21" s="138"/>
      <c r="F21" s="138"/>
      <c r="G21" s="138"/>
      <c r="H21" s="137">
        <v>46205</v>
      </c>
      <c r="I21" s="139">
        <v>106.85</v>
      </c>
      <c r="J21" s="106"/>
      <c r="K21" t="str">
        <f>IF(A21&gt;0,VLOOKUP(A21,טבלאות!$J:$K,2,0),"")</f>
        <v>הסתדרות</v>
      </c>
      <c r="L21" s="50" t="str">
        <f>IF(ISERROR(VLOOKUP(B21,טבלאות!$G:$H,2,0)),"",VLOOKUP(B21,טבלאות!$G:$H,2,0))</f>
        <v>נופש</v>
      </c>
      <c r="M21" s="51">
        <f t="shared" si="0"/>
        <v>106.85</v>
      </c>
    </row>
    <row r="22" spans="1:13" hidden="1">
      <c r="A22" t="s">
        <v>1346</v>
      </c>
      <c r="B22" s="135" t="s">
        <v>954</v>
      </c>
      <c r="C22" s="137">
        <v>46173</v>
      </c>
      <c r="D22" s="143">
        <v>150</v>
      </c>
      <c r="H22" s="137">
        <v>46205</v>
      </c>
      <c r="I22" s="139">
        <v>500.87</v>
      </c>
      <c r="J22" s="106"/>
      <c r="K22" t="str">
        <f>IF(A22&gt;0,VLOOKUP(A22,טבלאות!$J:$K,2,0),"")</f>
        <v>הסתדרות</v>
      </c>
      <c r="L22" s="50" t="str">
        <f>IF(ISERROR(VLOOKUP(B22,טבלאות!$G:$H,2,0)),"",VLOOKUP(B22,טבלאות!$G:$H,2,0))</f>
        <v>נופש</v>
      </c>
      <c r="M22" s="51">
        <f t="shared" si="0"/>
        <v>500.87</v>
      </c>
    </row>
    <row r="23" spans="1:13" hidden="1">
      <c r="A23" t="s">
        <v>1346</v>
      </c>
      <c r="B23" s="135" t="s">
        <v>1627</v>
      </c>
      <c r="C23" s="137">
        <v>46171</v>
      </c>
      <c r="D23" s="139">
        <v>375.1</v>
      </c>
      <c r="H23" s="137">
        <v>46205</v>
      </c>
      <c r="I23" s="139">
        <v>375.1</v>
      </c>
      <c r="J23" s="106"/>
      <c r="K23" t="str">
        <f>IF(A23&gt;0,VLOOKUP(A23,טבלאות!$J:$K,2,0),"")</f>
        <v>הסתדרות</v>
      </c>
      <c r="L23" s="50" t="str">
        <f>IF(ISERROR(VLOOKUP(B23,טבלאות!$G:$H,2,0)),"",VLOOKUP(B23,טבלאות!$G:$H,2,0))</f>
        <v>נופש</v>
      </c>
      <c r="M23" s="51">
        <f t="shared" si="0"/>
        <v>375.1</v>
      </c>
    </row>
    <row r="24" spans="1:13" hidden="1">
      <c r="A24" t="s">
        <v>697</v>
      </c>
      <c r="B24" s="135" t="s">
        <v>1628</v>
      </c>
      <c r="C24" s="137">
        <v>46184</v>
      </c>
      <c r="D24" s="114">
        <v>160.16</v>
      </c>
      <c r="E24" s="113"/>
      <c r="F24" s="113"/>
      <c r="G24" s="113"/>
      <c r="H24" s="137">
        <v>46205</v>
      </c>
      <c r="I24" s="114">
        <v>160.16</v>
      </c>
      <c r="J24" s="106"/>
      <c r="K24" t="str">
        <f>IF(A24&gt;0,VLOOKUP(A24,טבלאות!$J:$K,2,0),"")</f>
        <v>טוב</v>
      </c>
      <c r="L24" s="50" t="str">
        <f>IF(ISERROR(VLOOKUP(B24,טבלאות!$G:$H,2,0)),"",VLOOKUP(B24,טבלאות!$G:$H,2,0))</f>
        <v>ביטוח</v>
      </c>
      <c r="M24" s="51">
        <f t="shared" si="0"/>
        <v>160.16</v>
      </c>
    </row>
    <row r="25" spans="1:13" hidden="1">
      <c r="A25" t="s">
        <v>697</v>
      </c>
      <c r="B25" s="135" t="s">
        <v>1628</v>
      </c>
      <c r="C25" s="137">
        <v>46184</v>
      </c>
      <c r="D25" s="114">
        <v>156.07</v>
      </c>
      <c r="E25" s="113"/>
      <c r="F25" s="113"/>
      <c r="G25" s="113"/>
      <c r="H25" s="137">
        <v>46205</v>
      </c>
      <c r="I25" s="114">
        <v>156.07</v>
      </c>
      <c r="J25" s="106"/>
      <c r="K25" t="str">
        <f>IF(A25&gt;0,VLOOKUP(A25,טבלאות!$J:$K,2,0),"")</f>
        <v>טוב</v>
      </c>
      <c r="L25" s="50" t="str">
        <f>IF(ISERROR(VLOOKUP(B25,טבלאות!$G:$H,2,0)),"",VLOOKUP(B25,טבלאות!$G:$H,2,0))</f>
        <v>ביטוח</v>
      </c>
      <c r="M25" s="51">
        <f t="shared" si="0"/>
        <v>156.07</v>
      </c>
    </row>
    <row r="26" spans="1:13" hidden="1">
      <c r="A26" t="s">
        <v>697</v>
      </c>
      <c r="B26" s="135" t="s">
        <v>1628</v>
      </c>
      <c r="C26" s="137">
        <v>46184</v>
      </c>
      <c r="D26" s="114">
        <v>61.91</v>
      </c>
      <c r="E26" s="113"/>
      <c r="F26" s="113"/>
      <c r="G26" s="113"/>
      <c r="H26" s="137">
        <v>46205</v>
      </c>
      <c r="I26" s="114">
        <v>61.91</v>
      </c>
      <c r="J26" s="106"/>
      <c r="K26" t="str">
        <f>IF(A26&gt;0,VLOOKUP(A26,טבלאות!$J:$K,2,0),"")</f>
        <v>טוב</v>
      </c>
      <c r="L26" s="50" t="str">
        <f>IF(ISERROR(VLOOKUP(B26,טבלאות!$G:$H,2,0)),"",VLOOKUP(B26,טבלאות!$G:$H,2,0))</f>
        <v>ביטוח</v>
      </c>
      <c r="M26" s="51">
        <f t="shared" si="0"/>
        <v>61.91</v>
      </c>
    </row>
    <row r="27" spans="1:13" hidden="1">
      <c r="A27" t="s">
        <v>697</v>
      </c>
      <c r="B27" s="135" t="s">
        <v>1628</v>
      </c>
      <c r="C27" s="137">
        <v>46184</v>
      </c>
      <c r="D27" s="114">
        <v>61.91</v>
      </c>
      <c r="E27" s="113"/>
      <c r="F27" s="113"/>
      <c r="G27" s="113"/>
      <c r="H27" s="137">
        <v>46205</v>
      </c>
      <c r="I27" s="114">
        <v>61.91</v>
      </c>
      <c r="J27" s="106"/>
      <c r="K27" t="str">
        <f>IF(A27&gt;0,VLOOKUP(A27,טבלאות!$J:$K,2,0),"")</f>
        <v>טוב</v>
      </c>
      <c r="L27" s="50" t="str">
        <f>IF(ISERROR(VLOOKUP(B27,טבלאות!$G:$H,2,0)),"",VLOOKUP(B27,טבלאות!$G:$H,2,0))</f>
        <v>ביטוח</v>
      </c>
      <c r="M27" s="51">
        <f t="shared" si="0"/>
        <v>61.91</v>
      </c>
    </row>
    <row r="28" spans="1:13" hidden="1">
      <c r="A28" t="s">
        <v>697</v>
      </c>
      <c r="B28" s="135" t="s">
        <v>1628</v>
      </c>
      <c r="C28" s="137">
        <v>46184</v>
      </c>
      <c r="D28" s="114">
        <v>124.52</v>
      </c>
      <c r="E28" s="113"/>
      <c r="F28" s="113"/>
      <c r="G28" s="113"/>
      <c r="H28" s="137">
        <v>46205</v>
      </c>
      <c r="I28" s="114">
        <v>124.52</v>
      </c>
      <c r="J28" s="106"/>
      <c r="K28" t="str">
        <f>IF(A28&gt;0,VLOOKUP(A28,טבלאות!$J:$K,2,0),"")</f>
        <v>טוב</v>
      </c>
      <c r="L28" s="50" t="str">
        <f>IF(ISERROR(VLOOKUP(B28,טבלאות!$G:$H,2,0)),"",VLOOKUP(B28,טבלאות!$G:$H,2,0))</f>
        <v>ביטוח</v>
      </c>
      <c r="M28" s="51">
        <f t="shared" si="0"/>
        <v>124.52</v>
      </c>
    </row>
    <row r="29" spans="1:13">
      <c r="A29" t="s">
        <v>697</v>
      </c>
      <c r="B29" s="135" t="s">
        <v>1629</v>
      </c>
      <c r="C29" s="137">
        <v>46194</v>
      </c>
      <c r="D29" s="114">
        <v>98</v>
      </c>
      <c r="H29" s="137">
        <v>46205</v>
      </c>
      <c r="I29" s="114">
        <v>98</v>
      </c>
      <c r="J29" s="106"/>
      <c r="K29" t="str">
        <f>IF(A29&gt;0,VLOOKUP(A29,טבלאות!$J:$K,2,0),"")</f>
        <v>טוב</v>
      </c>
      <c r="L29" s="50" t="s">
        <v>32</v>
      </c>
      <c r="M29" s="51">
        <f t="shared" si="0"/>
        <v>98</v>
      </c>
    </row>
    <row r="30" spans="1:13">
      <c r="A30" t="s">
        <v>697</v>
      </c>
      <c r="B30" s="135" t="s">
        <v>1629</v>
      </c>
      <c r="C30" s="137">
        <v>46194</v>
      </c>
      <c r="D30" s="139">
        <v>49</v>
      </c>
      <c r="H30" s="137">
        <v>46205</v>
      </c>
      <c r="I30" s="139">
        <v>49</v>
      </c>
      <c r="J30" s="106"/>
      <c r="K30" t="str">
        <f>IF(A30&gt;0,VLOOKUP(A30,טבלאות!$J:$K,2,0),"")</f>
        <v>טוב</v>
      </c>
      <c r="L30" s="50" t="s">
        <v>32</v>
      </c>
      <c r="M30" s="51">
        <f t="shared" si="0"/>
        <v>49</v>
      </c>
    </row>
    <row r="31" spans="1:13">
      <c r="A31" t="s">
        <v>697</v>
      </c>
      <c r="B31" s="135" t="s">
        <v>1629</v>
      </c>
      <c r="C31" s="137">
        <v>46198</v>
      </c>
      <c r="D31" s="139">
        <v>79</v>
      </c>
      <c r="H31" s="137">
        <v>46205</v>
      </c>
      <c r="I31" s="139">
        <v>79</v>
      </c>
      <c r="J31" s="106"/>
      <c r="K31" t="str">
        <f>IF(A31&gt;0,VLOOKUP(A31,טבלאות!$J:$K,2,0),"")</f>
        <v>טוב</v>
      </c>
      <c r="L31" s="50" t="s">
        <v>32</v>
      </c>
      <c r="M31" s="51">
        <f t="shared" si="0"/>
        <v>79</v>
      </c>
    </row>
    <row r="32" spans="1:13" hidden="1">
      <c r="A32" s="105" t="s">
        <v>1355</v>
      </c>
      <c r="B32" t="s">
        <v>1155</v>
      </c>
      <c r="C32" s="137">
        <v>46203</v>
      </c>
      <c r="D32" s="139">
        <v>707.75</v>
      </c>
      <c r="H32" s="137">
        <v>46205</v>
      </c>
      <c r="I32" s="139">
        <v>707.75</v>
      </c>
      <c r="J32" s="106"/>
      <c r="K32" t="str">
        <f>IF(A32&gt;0,VLOOKUP(A32,טבלאות!$J:$K,2,0),"")</f>
        <v>אשראי מיכה</v>
      </c>
      <c r="L32" s="50" t="str">
        <f>IF(ISERROR(VLOOKUP(B32,טבלאות!$G:$H,2,0)),"",VLOOKUP(B32,טבלאות!$G:$H,2,0))</f>
        <v>מזון ומשקאות</v>
      </c>
      <c r="M32" s="51">
        <f t="shared" si="0"/>
        <v>707.75</v>
      </c>
    </row>
    <row r="33" spans="1:13" hidden="1">
      <c r="A33" s="105" t="s">
        <v>1355</v>
      </c>
      <c r="B33" t="s">
        <v>1241</v>
      </c>
      <c r="C33" s="137">
        <v>46203</v>
      </c>
      <c r="D33" s="139">
        <v>37</v>
      </c>
      <c r="H33" s="137">
        <v>46205</v>
      </c>
      <c r="I33" s="139">
        <v>37</v>
      </c>
      <c r="J33" s="106"/>
      <c r="K33" t="str">
        <f>IF(A33&gt;0,VLOOKUP(A33,טבלאות!$J:$K,2,0),"")</f>
        <v>אשראי מיכה</v>
      </c>
      <c r="L33" s="50" t="str">
        <f>IF(ISERROR(VLOOKUP(B33,טבלאות!$G:$H,2,0)),"",VLOOKUP(B33,טבלאות!$G:$H,2,0))</f>
        <v>מוצרי חשמל ותקשורת</v>
      </c>
      <c r="M33" s="51">
        <f t="shared" si="0"/>
        <v>37</v>
      </c>
    </row>
    <row r="34" spans="1:13" hidden="1">
      <c r="A34" s="105" t="s">
        <v>1355</v>
      </c>
      <c r="B34" t="s">
        <v>358</v>
      </c>
      <c r="C34" s="137">
        <v>46203</v>
      </c>
      <c r="D34" s="139">
        <v>69.900000000000006</v>
      </c>
      <c r="H34" s="137">
        <v>46205</v>
      </c>
      <c r="I34" s="139">
        <v>69.900000000000006</v>
      </c>
      <c r="J34" s="106"/>
      <c r="K34" t="str">
        <f>IF(A34&gt;0,VLOOKUP(A34,טבלאות!$J:$K,2,0),"")</f>
        <v>אשראי מיכה</v>
      </c>
      <c r="L34" s="50" t="str">
        <f>IF(ISERROR(VLOOKUP(B34,טבלאות!$G:$H,2,0)),"",VLOOKUP(B34,טבלאות!$G:$H,2,0))</f>
        <v>מוצרי חשמל ותקשורת</v>
      </c>
      <c r="M34" s="51">
        <f t="shared" si="0"/>
        <v>69.900000000000006</v>
      </c>
    </row>
    <row r="35" spans="1:13" hidden="1">
      <c r="A35" s="105" t="s">
        <v>1355</v>
      </c>
      <c r="B35" t="s">
        <v>1620</v>
      </c>
      <c r="C35" s="137">
        <v>46202</v>
      </c>
      <c r="D35" s="139">
        <v>7.42</v>
      </c>
      <c r="H35" s="137">
        <v>46205</v>
      </c>
      <c r="I35" s="139">
        <v>7.42</v>
      </c>
      <c r="J35" s="106"/>
      <c r="K35" t="str">
        <f>IF(A35&gt;0,VLOOKUP(A35,טבלאות!$J:$K,2,0),"")</f>
        <v>אשראי מיכה</v>
      </c>
      <c r="L35" s="50" t="str">
        <f>IF(ISERROR(VLOOKUP(B35,טבלאות!$G:$H,2,0)),"",VLOOKUP(B35,טבלאות!$G:$H,2,0))</f>
        <v>מזון ומשקאות</v>
      </c>
      <c r="M35" s="51">
        <f t="shared" si="0"/>
        <v>7.42</v>
      </c>
    </row>
    <row r="36" spans="1:13" hidden="1">
      <c r="A36" s="105" t="s">
        <v>1355</v>
      </c>
      <c r="B36" t="s">
        <v>86</v>
      </c>
      <c r="C36" s="137">
        <v>46202</v>
      </c>
      <c r="D36" s="139">
        <v>131.80000000000001</v>
      </c>
      <c r="H36" s="137">
        <v>46205</v>
      </c>
      <c r="I36" s="139">
        <v>131.80000000000001</v>
      </c>
      <c r="J36" s="106"/>
      <c r="K36" t="str">
        <f>IF(A36&gt;0,VLOOKUP(A36,טבלאות!$J:$K,2,0),"")</f>
        <v>אשראי מיכה</v>
      </c>
      <c r="L36" s="50" t="str">
        <f>IF(ISERROR(VLOOKUP(B36,טבלאות!$G:$H,2,0)),"",VLOOKUP(B36,טבלאות!$G:$H,2,0))</f>
        <v>מוצרי חשמל ותקשורת</v>
      </c>
      <c r="M36" s="51">
        <f t="shared" si="0"/>
        <v>131.80000000000001</v>
      </c>
    </row>
    <row r="37" spans="1:13" hidden="1">
      <c r="A37" s="105" t="s">
        <v>1355</v>
      </c>
      <c r="B37" t="s">
        <v>1193</v>
      </c>
      <c r="C37" s="137">
        <v>46201</v>
      </c>
      <c r="D37" s="139">
        <v>108.8</v>
      </c>
      <c r="H37" s="137">
        <v>46205</v>
      </c>
      <c r="I37" s="139">
        <v>108.8</v>
      </c>
      <c r="J37" s="106"/>
      <c r="K37" t="str">
        <f>IF(A37&gt;0,VLOOKUP(A37,טבלאות!$J:$K,2,0),"")</f>
        <v>אשראי מיכה</v>
      </c>
      <c r="L37" s="50" t="str">
        <f>IF(ISERROR(VLOOKUP(B37,טבלאות!$G:$H,2,0)),"",VLOOKUP(B37,טבלאות!$G:$H,2,0))</f>
        <v>מזון ומשקאות</v>
      </c>
      <c r="M37" s="51">
        <f t="shared" si="0"/>
        <v>108.8</v>
      </c>
    </row>
    <row r="38" spans="1:13" hidden="1">
      <c r="A38" s="105" t="s">
        <v>1355</v>
      </c>
      <c r="B38" t="s">
        <v>649</v>
      </c>
      <c r="C38" s="137">
        <v>46201</v>
      </c>
      <c r="D38" s="139">
        <v>72</v>
      </c>
      <c r="H38" s="137">
        <v>46205</v>
      </c>
      <c r="I38" s="139">
        <v>72</v>
      </c>
      <c r="J38" s="106"/>
      <c r="K38" t="str">
        <f>IF(A38&gt;0,VLOOKUP(A38,טבלאות!$J:$K,2,0),"")</f>
        <v>אשראי מיכה</v>
      </c>
      <c r="L38" s="50" t="str">
        <f>IF(ISERROR(VLOOKUP(B38,טבלאות!$G:$H,2,0)),"",VLOOKUP(B38,טבלאות!$G:$H,2,0))</f>
        <v>מזון ומשקאות</v>
      </c>
      <c r="M38" s="51">
        <f t="shared" si="0"/>
        <v>72</v>
      </c>
    </row>
    <row r="39" spans="1:13" hidden="1">
      <c r="A39" s="105" t="s">
        <v>1355</v>
      </c>
      <c r="B39" t="s">
        <v>541</v>
      </c>
      <c r="C39" s="137">
        <v>46201</v>
      </c>
      <c r="D39" s="139">
        <v>90</v>
      </c>
      <c r="H39" s="137">
        <v>46205</v>
      </c>
      <c r="I39" s="139">
        <v>90</v>
      </c>
      <c r="J39" s="106"/>
      <c r="K39" t="str">
        <f>IF(A39&gt;0,VLOOKUP(A39,טבלאות!$J:$K,2,0),"")</f>
        <v>אשראי מיכה</v>
      </c>
      <c r="L39" s="50" t="str">
        <f>IF(ISERROR(VLOOKUP(B39,טבלאות!$G:$H,2,0)),"",VLOOKUP(B39,טבלאות!$G:$H,2,0))</f>
        <v>רכב ותחבורה</v>
      </c>
      <c r="M39" s="51">
        <f t="shared" si="0"/>
        <v>90</v>
      </c>
    </row>
    <row r="40" spans="1:13" hidden="1">
      <c r="A40" s="105" t="s">
        <v>1355</v>
      </c>
      <c r="B40" t="s">
        <v>1630</v>
      </c>
      <c r="C40" s="137">
        <v>46201</v>
      </c>
      <c r="D40" s="139">
        <v>55.07</v>
      </c>
      <c r="H40" s="137">
        <v>46205</v>
      </c>
      <c r="I40" s="139">
        <v>55.07</v>
      </c>
      <c r="J40" s="106"/>
      <c r="K40" t="str">
        <f>IF(A40&gt;0,VLOOKUP(A40,טבלאות!$J:$K,2,0),"")</f>
        <v>אשראי מיכה</v>
      </c>
      <c r="L40" s="50" t="str">
        <f>IF(ISERROR(VLOOKUP(B40,טבלאות!$G:$H,2,0)),"",VLOOKUP(B40,טבלאות!$G:$H,2,0))</f>
        <v>ביטוח</v>
      </c>
      <c r="M40" s="51">
        <f t="shared" si="0"/>
        <v>55.07</v>
      </c>
    </row>
    <row r="41" spans="1:13" hidden="1">
      <c r="A41" s="105" t="s">
        <v>1355</v>
      </c>
      <c r="B41" t="s">
        <v>1026</v>
      </c>
      <c r="C41" s="137">
        <v>46198</v>
      </c>
      <c r="D41" s="139">
        <v>386.28</v>
      </c>
      <c r="H41" s="137">
        <v>46205</v>
      </c>
      <c r="I41" s="139">
        <v>386.28</v>
      </c>
      <c r="J41" s="106"/>
      <c r="K41" t="str">
        <f>IF(A41&gt;0,VLOOKUP(A41,טבלאות!$J:$K,2,0),"")</f>
        <v>אשראי מיכה</v>
      </c>
      <c r="L41" s="50" t="str">
        <f>IF(ISERROR(VLOOKUP(B41,טבלאות!$G:$H,2,0)),"",VLOOKUP(B41,טבלאות!$G:$H,2,0))</f>
        <v>רכב ותחבורה</v>
      </c>
      <c r="M41" s="51">
        <f t="shared" si="0"/>
        <v>386.28</v>
      </c>
    </row>
    <row r="42" spans="1:13" hidden="1">
      <c r="A42" s="105" t="s">
        <v>1355</v>
      </c>
      <c r="B42" t="s">
        <v>525</v>
      </c>
      <c r="C42" s="137">
        <v>46198</v>
      </c>
      <c r="D42" s="139">
        <v>3</v>
      </c>
      <c r="H42" s="137">
        <v>46205</v>
      </c>
      <c r="I42" s="139">
        <v>3</v>
      </c>
      <c r="J42" s="106"/>
      <c r="K42" t="str">
        <f>IF(A42&gt;0,VLOOKUP(A42,טבלאות!$J:$K,2,0),"")</f>
        <v>אשראי מיכה</v>
      </c>
      <c r="L42" s="50" t="str">
        <f>IF(ISERROR(VLOOKUP(B42,טבלאות!$G:$H,2,0)),"",VLOOKUP(B42,טבלאות!$G:$H,2,0))</f>
        <v>רכב ותחבורה</v>
      </c>
      <c r="M42" s="51">
        <f t="shared" si="0"/>
        <v>3</v>
      </c>
    </row>
    <row r="43" spans="1:13" hidden="1">
      <c r="A43" s="105" t="s">
        <v>1355</v>
      </c>
      <c r="B43" t="s">
        <v>67</v>
      </c>
      <c r="C43" s="137">
        <v>46198</v>
      </c>
      <c r="D43" s="139">
        <v>27.93</v>
      </c>
      <c r="H43" s="137">
        <v>46205</v>
      </c>
      <c r="I43" s="139">
        <v>27.93</v>
      </c>
      <c r="J43" s="106"/>
      <c r="K43" t="str">
        <f>IF(A43&gt;0,VLOOKUP(A43,טבלאות!$J:$K,2,0),"")</f>
        <v>אשראי מיכה</v>
      </c>
      <c r="L43" s="50" t="str">
        <f>IF(ISERROR(VLOOKUP(B43,טבלאות!$G:$H,2,0)),"",VLOOKUP(B43,טבלאות!$G:$H,2,0))</f>
        <v>מזון ומשקאות</v>
      </c>
      <c r="M43" s="51">
        <f t="shared" si="0"/>
        <v>27.93</v>
      </c>
    </row>
    <row r="44" spans="1:13" hidden="1">
      <c r="A44" s="105" t="s">
        <v>1355</v>
      </c>
      <c r="B44" t="s">
        <v>256</v>
      </c>
      <c r="C44" s="137">
        <v>46198</v>
      </c>
      <c r="D44" s="139">
        <v>36.4</v>
      </c>
      <c r="H44" s="137">
        <v>46205</v>
      </c>
      <c r="I44" s="139">
        <v>36.4</v>
      </c>
      <c r="J44" s="106"/>
      <c r="K44" t="str">
        <f>IF(A44&gt;0,VLOOKUP(A44,טבלאות!$J:$K,2,0),"")</f>
        <v>אשראי מיכה</v>
      </c>
      <c r="L44" s="50" t="str">
        <f>IF(ISERROR(VLOOKUP(B44,טבלאות!$G:$H,2,0)),"",VLOOKUP(B44,טבלאות!$G:$H,2,0))</f>
        <v>בילוי ומסעדות</v>
      </c>
      <c r="M44" s="51">
        <f t="shared" si="0"/>
        <v>36.4</v>
      </c>
    </row>
    <row r="45" spans="1:13" hidden="1">
      <c r="A45" s="105" t="s">
        <v>1355</v>
      </c>
      <c r="B45" t="s">
        <v>1155</v>
      </c>
      <c r="C45" s="137">
        <v>46197</v>
      </c>
      <c r="D45" s="139">
        <v>870.52</v>
      </c>
      <c r="H45" s="137">
        <v>46205</v>
      </c>
      <c r="I45" s="139">
        <v>870.52</v>
      </c>
      <c r="J45" s="106"/>
      <c r="K45" t="str">
        <f>IF(A45&gt;0,VLOOKUP(A45,טבלאות!$J:$K,2,0),"")</f>
        <v>אשראי מיכה</v>
      </c>
      <c r="L45" s="50" t="str">
        <f>IF(ISERROR(VLOOKUP(B45,טבלאות!$G:$H,2,0)),"",VLOOKUP(B45,טבלאות!$G:$H,2,0))</f>
        <v>מזון ומשקאות</v>
      </c>
      <c r="M45" s="51">
        <f t="shared" si="0"/>
        <v>870.52</v>
      </c>
    </row>
    <row r="46" spans="1:13" hidden="1">
      <c r="A46" s="105" t="s">
        <v>1355</v>
      </c>
      <c r="B46" t="s">
        <v>1174</v>
      </c>
      <c r="C46" s="137">
        <v>46197</v>
      </c>
      <c r="D46" s="139">
        <v>56.68</v>
      </c>
      <c r="H46" s="137">
        <v>46205</v>
      </c>
      <c r="I46" s="139">
        <v>56.68</v>
      </c>
      <c r="J46" s="106"/>
      <c r="K46" t="str">
        <f>IF(A46&gt;0,VLOOKUP(A46,טבלאות!$J:$K,2,0),"")</f>
        <v>אשראי מיכה</v>
      </c>
      <c r="L46" s="50" t="str">
        <f>IF(ISERROR(VLOOKUP(B46,טבלאות!$G:$H,2,0)),"",VLOOKUP(B46,טבלאות!$G:$H,2,0))</f>
        <v>בריאות</v>
      </c>
      <c r="M46" s="51">
        <f t="shared" si="0"/>
        <v>56.68</v>
      </c>
    </row>
    <row r="47" spans="1:13" hidden="1">
      <c r="A47" s="105" t="s">
        <v>1355</v>
      </c>
      <c r="B47" t="s">
        <v>942</v>
      </c>
      <c r="C47" s="137">
        <v>46197</v>
      </c>
      <c r="D47" s="139">
        <v>32.5</v>
      </c>
      <c r="H47" s="137">
        <v>46205</v>
      </c>
      <c r="I47" s="139">
        <v>32.5</v>
      </c>
      <c r="J47" s="105"/>
      <c r="K47" t="str">
        <f>IF(A47&gt;0,VLOOKUP(A47,טבלאות!$J:$K,2,0),"")</f>
        <v>אשראי מיכה</v>
      </c>
      <c r="L47" s="50" t="str">
        <f>IF(ISERROR(VLOOKUP(B47,טבלאות!$G:$H,2,0)),"",VLOOKUP(B47,טבלאות!$G:$H,2,0))</f>
        <v>רכב ותחבורה</v>
      </c>
      <c r="M47" s="51">
        <f t="shared" si="0"/>
        <v>32.5</v>
      </c>
    </row>
    <row r="48" spans="1:13" hidden="1">
      <c r="A48" s="105" t="s">
        <v>1355</v>
      </c>
      <c r="B48" t="s">
        <v>1212</v>
      </c>
      <c r="C48" s="137">
        <v>46196</v>
      </c>
      <c r="D48" s="139">
        <v>129.72</v>
      </c>
      <c r="H48" s="137">
        <v>46205</v>
      </c>
      <c r="I48" s="139">
        <v>129.72</v>
      </c>
      <c r="J48" s="106"/>
      <c r="K48" t="str">
        <f>IF(A48&gt;0,VLOOKUP(A48,טבלאות!$J:$K,2,0),"")</f>
        <v>אשראי מיכה</v>
      </c>
      <c r="L48" s="50" t="str">
        <f>IF(ISERROR(VLOOKUP(B48,טבלאות!$G:$H,2,0)),"",VLOOKUP(B48,טבלאות!$G:$H,2,0))</f>
        <v>בריאות</v>
      </c>
      <c r="M48" s="51">
        <f t="shared" si="0"/>
        <v>129.72</v>
      </c>
    </row>
    <row r="49" spans="1:13" hidden="1">
      <c r="A49" s="105" t="s">
        <v>1355</v>
      </c>
      <c r="B49" t="s">
        <v>76</v>
      </c>
      <c r="C49" s="137">
        <v>46196</v>
      </c>
      <c r="D49" s="139">
        <v>70.72</v>
      </c>
      <c r="H49" s="137">
        <v>46205</v>
      </c>
      <c r="I49" s="139">
        <v>70.72</v>
      </c>
      <c r="J49" s="106"/>
      <c r="K49" t="str">
        <f>IF(A49&gt;0,VLOOKUP(A49,טבלאות!$J:$K,2,0),"")</f>
        <v>אשראי מיכה</v>
      </c>
      <c r="L49" s="50" t="str">
        <f>IF(ISERROR(VLOOKUP(B49,טבלאות!$G:$H,2,0)),"",VLOOKUP(B49,טבלאות!$G:$H,2,0))</f>
        <v>בריאות</v>
      </c>
      <c r="M49" s="51">
        <f t="shared" si="0"/>
        <v>70.72</v>
      </c>
    </row>
    <row r="50" spans="1:13" hidden="1">
      <c r="A50" s="105" t="s">
        <v>1355</v>
      </c>
      <c r="B50" t="s">
        <v>1109</v>
      </c>
      <c r="C50" s="137">
        <v>46196</v>
      </c>
      <c r="D50" s="139">
        <v>39</v>
      </c>
      <c r="H50" s="137">
        <v>46205</v>
      </c>
      <c r="I50" s="139">
        <v>39</v>
      </c>
      <c r="J50" s="106"/>
      <c r="K50" t="str">
        <f>IF(A50&gt;0,VLOOKUP(A50,טבלאות!$J:$K,2,0),"")</f>
        <v>אשראי מיכה</v>
      </c>
      <c r="L50" s="50" t="str">
        <f>IF(ISERROR(VLOOKUP(B50,טבלאות!$G:$H,2,0)),"",VLOOKUP(B50,טבלאות!$G:$H,2,0))</f>
        <v>בית וגן</v>
      </c>
      <c r="M50" s="51">
        <f t="shared" si="0"/>
        <v>39</v>
      </c>
    </row>
    <row r="51" spans="1:13" hidden="1">
      <c r="A51" s="105" t="s">
        <v>1355</v>
      </c>
      <c r="B51" t="s">
        <v>649</v>
      </c>
      <c r="C51" s="137">
        <v>46195</v>
      </c>
      <c r="D51" s="139">
        <v>72</v>
      </c>
      <c r="H51" s="137">
        <v>46205</v>
      </c>
      <c r="I51" s="139">
        <v>72</v>
      </c>
      <c r="J51" s="106"/>
      <c r="K51" t="str">
        <f>IF(A51&gt;0,VLOOKUP(A51,טבלאות!$J:$K,2,0),"")</f>
        <v>אשראי מיכה</v>
      </c>
      <c r="L51" s="50" t="str">
        <f>IF(ISERROR(VLOOKUP(B51,טבלאות!$G:$H,2,0)),"",VLOOKUP(B51,טבלאות!$G:$H,2,0))</f>
        <v>מזון ומשקאות</v>
      </c>
      <c r="M51" s="51">
        <f t="shared" si="0"/>
        <v>72</v>
      </c>
    </row>
    <row r="52" spans="1:13" hidden="1">
      <c r="A52" s="105" t="s">
        <v>1355</v>
      </c>
      <c r="B52" t="s">
        <v>1155</v>
      </c>
      <c r="C52" s="137">
        <v>46195</v>
      </c>
      <c r="D52" s="139">
        <v>195.03</v>
      </c>
      <c r="H52" s="137">
        <v>46205</v>
      </c>
      <c r="I52" s="139">
        <v>195.03</v>
      </c>
      <c r="J52" s="106"/>
      <c r="K52" t="str">
        <f>IF(A52&gt;0,VLOOKUP(A52,טבלאות!$J:$K,2,0),"")</f>
        <v>אשראי מיכה</v>
      </c>
      <c r="L52" s="50" t="str">
        <f>IF(ISERROR(VLOOKUP(B52,טבלאות!$G:$H,2,0)),"",VLOOKUP(B52,טבלאות!$G:$H,2,0))</f>
        <v>מזון ומשקאות</v>
      </c>
      <c r="M52" s="51">
        <f t="shared" si="0"/>
        <v>195.03</v>
      </c>
    </row>
    <row r="53" spans="1:13" hidden="1">
      <c r="A53" s="105" t="s">
        <v>1355</v>
      </c>
      <c r="B53" t="s">
        <v>900</v>
      </c>
      <c r="C53" s="137">
        <v>46194</v>
      </c>
      <c r="D53" s="139">
        <v>18.25</v>
      </c>
      <c r="H53" s="137">
        <v>46205</v>
      </c>
      <c r="I53" s="139">
        <v>18.25</v>
      </c>
      <c r="J53" s="106"/>
      <c r="K53" t="str">
        <f>IF(A53&gt;0,VLOOKUP(A53,טבלאות!$J:$K,2,0),"")</f>
        <v>אשראי מיכה</v>
      </c>
      <c r="L53" s="50" t="str">
        <f>IF(ISERROR(VLOOKUP(B53,טבלאות!$G:$H,2,0)),"",VLOOKUP(B53,טבלאות!$G:$H,2,0))</f>
        <v>רכב ותחבורה</v>
      </c>
      <c r="M53" s="51">
        <f t="shared" si="0"/>
        <v>18.25</v>
      </c>
    </row>
    <row r="54" spans="1:13" hidden="1">
      <c r="A54" s="105" t="s">
        <v>1355</v>
      </c>
      <c r="B54" t="s">
        <v>1330</v>
      </c>
      <c r="C54" s="137">
        <v>46194</v>
      </c>
      <c r="D54" s="139">
        <v>105</v>
      </c>
      <c r="H54" s="137">
        <v>46205</v>
      </c>
      <c r="I54" s="139">
        <v>105</v>
      </c>
      <c r="J54" s="106"/>
      <c r="K54" t="str">
        <f>IF(A54&gt;0,VLOOKUP(A54,טבלאות!$J:$K,2,0),"")</f>
        <v>אשראי מיכה</v>
      </c>
      <c r="L54" s="50" t="str">
        <f>IF(ISERROR(VLOOKUP(B54,טבלאות!$G:$H,2,0)),"",VLOOKUP(B54,טבלאות!$G:$H,2,0))</f>
        <v>בילוי ומסעדות</v>
      </c>
      <c r="M54" s="51">
        <f t="shared" si="0"/>
        <v>105</v>
      </c>
    </row>
    <row r="55" spans="1:13" hidden="1">
      <c r="A55" s="105" t="s">
        <v>1355</v>
      </c>
      <c r="B55" t="s">
        <v>541</v>
      </c>
      <c r="C55" s="137">
        <v>46194</v>
      </c>
      <c r="D55" s="139">
        <v>90</v>
      </c>
      <c r="H55" s="137">
        <v>46205</v>
      </c>
      <c r="I55" s="139">
        <v>90</v>
      </c>
      <c r="J55" s="106"/>
      <c r="K55" t="str">
        <f>IF(A55&gt;0,VLOOKUP(A55,טבלאות!$J:$K,2,0),"")</f>
        <v>אשראי מיכה</v>
      </c>
      <c r="L55" s="50" t="str">
        <f>IF(ISERROR(VLOOKUP(B55,טבלאות!$G:$H,2,0)),"",VLOOKUP(B55,טבלאות!$G:$H,2,0))</f>
        <v>רכב ותחבורה</v>
      </c>
      <c r="M55" s="51">
        <f t="shared" si="0"/>
        <v>90</v>
      </c>
    </row>
    <row r="56" spans="1:13" hidden="1">
      <c r="A56" s="105" t="s">
        <v>1355</v>
      </c>
      <c r="B56" t="s">
        <v>942</v>
      </c>
      <c r="C56" s="137">
        <v>46192</v>
      </c>
      <c r="D56" s="139">
        <v>50</v>
      </c>
      <c r="H56" s="137">
        <v>46205</v>
      </c>
      <c r="I56" s="139">
        <v>50</v>
      </c>
      <c r="J56" s="106"/>
      <c r="K56" t="str">
        <f>IF(A56&gt;0,VLOOKUP(A56,טבלאות!$J:$K,2,0),"")</f>
        <v>אשראי מיכה</v>
      </c>
      <c r="L56" s="50" t="str">
        <f>IF(ISERROR(VLOOKUP(B56,טבלאות!$G:$H,2,0)),"",VLOOKUP(B56,טבלאות!$G:$H,2,0))</f>
        <v>רכב ותחבורה</v>
      </c>
      <c r="M56" s="51">
        <f t="shared" si="0"/>
        <v>50</v>
      </c>
    </row>
    <row r="57" spans="1:13" hidden="1">
      <c r="A57" s="105" t="s">
        <v>1355</v>
      </c>
      <c r="B57" t="s">
        <v>508</v>
      </c>
      <c r="C57" s="137">
        <v>46192</v>
      </c>
      <c r="D57" s="139">
        <v>33</v>
      </c>
      <c r="H57" s="137">
        <v>46205</v>
      </c>
      <c r="I57" s="139">
        <v>33</v>
      </c>
      <c r="J57" s="106"/>
      <c r="K57" t="str">
        <f>IF(A57&gt;0,VLOOKUP(A57,טבלאות!$J:$K,2,0),"")</f>
        <v>אשראי מיכה</v>
      </c>
      <c r="L57" s="50" t="str">
        <f>IF(ISERROR(VLOOKUP(B57,טבלאות!$G:$H,2,0)),"",VLOOKUP(B57,טבלאות!$G:$H,2,0))</f>
        <v>בית וגן</v>
      </c>
      <c r="M57" s="51">
        <f t="shared" si="0"/>
        <v>33</v>
      </c>
    </row>
    <row r="58" spans="1:13" hidden="1">
      <c r="A58" s="105" t="s">
        <v>1355</v>
      </c>
      <c r="B58" t="s">
        <v>1631</v>
      </c>
      <c r="C58" s="137">
        <v>46192</v>
      </c>
      <c r="D58" s="139">
        <v>58.8</v>
      </c>
      <c r="H58" s="137">
        <v>46205</v>
      </c>
      <c r="I58" s="139">
        <v>58.8</v>
      </c>
      <c r="J58" s="106"/>
      <c r="K58" t="str">
        <f>IF(A58&gt;0,VLOOKUP(A58,טבלאות!$J:$K,2,0),"")</f>
        <v>אשראי מיכה</v>
      </c>
      <c r="L58" s="50" t="str">
        <f>IF(ISERROR(VLOOKUP(B58,טבלאות!$G:$H,2,0)),"",VLOOKUP(B58,טבלאות!$G:$H,2,0))</f>
        <v/>
      </c>
      <c r="M58" s="51" t="str">
        <f t="shared" si="0"/>
        <v/>
      </c>
    </row>
    <row r="59" spans="1:13" hidden="1">
      <c r="A59" s="105" t="s">
        <v>1355</v>
      </c>
      <c r="B59" t="s">
        <v>754</v>
      </c>
      <c r="C59" s="137">
        <v>46192</v>
      </c>
      <c r="D59" s="139">
        <v>89.9</v>
      </c>
      <c r="H59" s="137">
        <v>46205</v>
      </c>
      <c r="I59" s="139">
        <v>89.9</v>
      </c>
      <c r="J59" s="106"/>
      <c r="K59" t="str">
        <f>IF(A59&gt;0,VLOOKUP(A59,טבלאות!$J:$K,2,0),"")</f>
        <v>אשראי מיכה</v>
      </c>
      <c r="L59" s="50" t="str">
        <f>IF(ISERROR(VLOOKUP(B59,טבלאות!$G:$H,2,0)),"",VLOOKUP(B59,טבלאות!$G:$H,2,0))</f>
        <v>מתנות ומזכרות</v>
      </c>
      <c r="M59" s="51">
        <f t="shared" si="0"/>
        <v>89.9</v>
      </c>
    </row>
    <row r="60" spans="1:13" hidden="1">
      <c r="A60" s="105" t="s">
        <v>1355</v>
      </c>
      <c r="B60" t="s">
        <v>262</v>
      </c>
      <c r="C60" s="137">
        <v>46192</v>
      </c>
      <c r="D60" s="139">
        <v>36</v>
      </c>
      <c r="H60" s="137">
        <v>46205</v>
      </c>
      <c r="I60" s="139">
        <v>36</v>
      </c>
      <c r="J60" s="106"/>
      <c r="K60" t="str">
        <f>IF(A60&gt;0,VLOOKUP(A60,טבלאות!$J:$K,2,0),"")</f>
        <v>אשראי מיכה</v>
      </c>
      <c r="L60" s="50" t="str">
        <f>IF(ISERROR(VLOOKUP(B60,טבלאות!$G:$H,2,0)),"",VLOOKUP(B60,טבלאות!$G:$H,2,0))</f>
        <v>מזון ומשקאות</v>
      </c>
      <c r="M60" s="51">
        <f t="shared" si="0"/>
        <v>36</v>
      </c>
    </row>
    <row r="61" spans="1:13" hidden="1">
      <c r="A61" s="105" t="s">
        <v>1355</v>
      </c>
      <c r="B61" t="s">
        <v>1155</v>
      </c>
      <c r="C61" s="137">
        <v>46191</v>
      </c>
      <c r="D61" s="139">
        <v>240.6</v>
      </c>
      <c r="H61" s="137">
        <v>46205</v>
      </c>
      <c r="I61" s="139">
        <v>240.6</v>
      </c>
      <c r="J61" s="106"/>
      <c r="K61" t="str">
        <f>IF(A61&gt;0,VLOOKUP(A61,טבלאות!$J:$K,2,0),"")</f>
        <v>אשראי מיכה</v>
      </c>
      <c r="L61" s="50" t="str">
        <f>IF(ISERROR(VLOOKUP(B61,טבלאות!$G:$H,2,0)),"",VLOOKUP(B61,טבלאות!$G:$H,2,0))</f>
        <v>מזון ומשקאות</v>
      </c>
      <c r="M61" s="51">
        <f t="shared" si="0"/>
        <v>240.6</v>
      </c>
    </row>
    <row r="62" spans="1:13" hidden="1">
      <c r="A62" s="105" t="s">
        <v>1355</v>
      </c>
      <c r="B62" t="s">
        <v>1437</v>
      </c>
      <c r="C62" s="137">
        <v>46191</v>
      </c>
      <c r="D62" s="139">
        <v>100.69</v>
      </c>
      <c r="H62" s="137">
        <v>46205</v>
      </c>
      <c r="I62" s="139">
        <v>100.69</v>
      </c>
      <c r="J62" s="106"/>
      <c r="K62" t="str">
        <f>IF(A62&gt;0,VLOOKUP(A62,טבלאות!$J:$K,2,0),"")</f>
        <v>אשראי מיכה</v>
      </c>
      <c r="L62" s="50" t="str">
        <f>IF(ISERROR(VLOOKUP(B62,טבלאות!$G:$H,2,0)),"",VLOOKUP(B62,טבלאות!$G:$H,2,0))</f>
        <v>מתנות ומזכרות</v>
      </c>
      <c r="M62" s="51">
        <f t="shared" si="0"/>
        <v>100.69</v>
      </c>
    </row>
    <row r="63" spans="1:13" hidden="1">
      <c r="A63" s="105" t="s">
        <v>1355</v>
      </c>
      <c r="B63" t="s">
        <v>1173</v>
      </c>
      <c r="C63" s="137">
        <v>46190</v>
      </c>
      <c r="D63" s="139">
        <v>60.83</v>
      </c>
      <c r="H63" s="137">
        <v>46205</v>
      </c>
      <c r="I63" s="139">
        <v>60.83</v>
      </c>
      <c r="J63" s="106"/>
      <c r="K63" t="str">
        <f>IF(A63&gt;0,VLOOKUP(A63,טבלאות!$J:$K,2,0),"")</f>
        <v>אשראי מיכה</v>
      </c>
      <c r="L63" s="50" t="str">
        <f>IF(ISERROR(VLOOKUP(B63,טבלאות!$G:$H,2,0)),"",VLOOKUP(B63,טבלאות!$G:$H,2,0))</f>
        <v>בית וגן</v>
      </c>
      <c r="M63" s="51">
        <f t="shared" si="0"/>
        <v>60.83</v>
      </c>
    </row>
    <row r="64" spans="1:13" hidden="1">
      <c r="A64" s="105" t="s">
        <v>1355</v>
      </c>
      <c r="B64" t="s">
        <v>1193</v>
      </c>
      <c r="C64" s="137">
        <v>46189</v>
      </c>
      <c r="D64" s="139">
        <v>58.86</v>
      </c>
      <c r="H64" s="137">
        <v>46205</v>
      </c>
      <c r="I64" s="139">
        <v>58.86</v>
      </c>
      <c r="J64" s="106"/>
      <c r="K64" t="str">
        <f>IF(A64&gt;0,VLOOKUP(A64,טבלאות!$J:$K,2,0),"")</f>
        <v>אשראי מיכה</v>
      </c>
      <c r="L64" s="50" t="str">
        <f>IF(ISERROR(VLOOKUP(B64,טבלאות!$G:$H,2,0)),"",VLOOKUP(B64,טבלאות!$G:$H,2,0))</f>
        <v>מזון ומשקאות</v>
      </c>
      <c r="M64" s="51">
        <f t="shared" si="0"/>
        <v>58.86</v>
      </c>
    </row>
    <row r="65" spans="1:13" hidden="1">
      <c r="A65" s="105" t="s">
        <v>1355</v>
      </c>
      <c r="B65" t="s">
        <v>1174</v>
      </c>
      <c r="C65" s="137">
        <v>46189</v>
      </c>
      <c r="D65" s="139">
        <v>39.9</v>
      </c>
      <c r="H65" s="137">
        <v>46205</v>
      </c>
      <c r="I65" s="139">
        <v>39.9</v>
      </c>
      <c r="J65" s="106"/>
      <c r="K65" t="str">
        <f>IF(A65&gt;0,VLOOKUP(A65,טבלאות!$J:$K,2,0),"")</f>
        <v>אשראי מיכה</v>
      </c>
      <c r="L65" s="50" t="str">
        <f>IF(ISERROR(VLOOKUP(B65,טבלאות!$G:$H,2,0)),"",VLOOKUP(B65,טבלאות!$G:$H,2,0))</f>
        <v>בריאות</v>
      </c>
      <c r="M65" s="51">
        <f t="shared" si="0"/>
        <v>39.9</v>
      </c>
    </row>
    <row r="66" spans="1:13" hidden="1">
      <c r="A66" s="105" t="s">
        <v>1355</v>
      </c>
      <c r="B66" t="s">
        <v>1155</v>
      </c>
      <c r="C66" s="137">
        <v>46189</v>
      </c>
      <c r="D66" s="139">
        <v>805.17</v>
      </c>
      <c r="H66" s="137">
        <v>46205</v>
      </c>
      <c r="I66" s="139">
        <v>805.17</v>
      </c>
      <c r="J66" s="106"/>
      <c r="K66" t="str">
        <f>IF(A66&gt;0,VLOOKUP(A66,טבלאות!$J:$K,2,0),"")</f>
        <v>אשראי מיכה</v>
      </c>
      <c r="L66" s="50" t="str">
        <f>IF(ISERROR(VLOOKUP(B66,טבלאות!$G:$H,2,0)),"",VLOOKUP(B66,טבלאות!$G:$H,2,0))</f>
        <v>מזון ומשקאות</v>
      </c>
      <c r="M66" s="51">
        <f t="shared" ref="M66:M112" si="1">IF(OR(L66="",L66="?"),"",IF(L66&gt;0,I66,""))</f>
        <v>805.17</v>
      </c>
    </row>
    <row r="67" spans="1:13" hidden="1">
      <c r="A67" s="105" t="s">
        <v>1355</v>
      </c>
      <c r="B67" t="s">
        <v>649</v>
      </c>
      <c r="C67" s="137">
        <v>46189</v>
      </c>
      <c r="D67" s="139">
        <v>72</v>
      </c>
      <c r="H67" s="137">
        <v>46205</v>
      </c>
      <c r="I67" s="139">
        <v>72</v>
      </c>
      <c r="J67" s="106"/>
      <c r="K67" t="str">
        <f>IF(A67&gt;0,VLOOKUP(A67,טבלאות!$J:$K,2,0),"")</f>
        <v>אשראי מיכה</v>
      </c>
      <c r="L67" s="50" t="str">
        <f>IF(ISERROR(VLOOKUP(B67,טבלאות!$G:$H,2,0)),"",VLOOKUP(B67,טבלאות!$G:$H,2,0))</f>
        <v>מזון ומשקאות</v>
      </c>
      <c r="M67" s="51">
        <f t="shared" si="1"/>
        <v>72</v>
      </c>
    </row>
    <row r="68" spans="1:13" hidden="1">
      <c r="A68" s="105" t="s">
        <v>1355</v>
      </c>
      <c r="B68" t="s">
        <v>525</v>
      </c>
      <c r="C68" s="137">
        <v>46187</v>
      </c>
      <c r="D68" s="139">
        <v>3</v>
      </c>
      <c r="H68" s="137">
        <v>46205</v>
      </c>
      <c r="I68" s="139">
        <v>3</v>
      </c>
      <c r="J68" s="106"/>
      <c r="K68" t="str">
        <f>IF(A68&gt;0,VLOOKUP(A68,טבלאות!$J:$K,2,0),"")</f>
        <v>אשראי מיכה</v>
      </c>
      <c r="L68" s="50" t="str">
        <f>IF(ISERROR(VLOOKUP(B68,טבלאות!$G:$H,2,0)),"",VLOOKUP(B68,טבלאות!$G:$H,2,0))</f>
        <v>רכב ותחבורה</v>
      </c>
      <c r="M68" s="51">
        <f t="shared" si="1"/>
        <v>3</v>
      </c>
    </row>
    <row r="69" spans="1:13" hidden="1">
      <c r="A69" s="105" t="s">
        <v>1355</v>
      </c>
      <c r="B69" t="s">
        <v>67</v>
      </c>
      <c r="C69" s="137">
        <v>46187</v>
      </c>
      <c r="D69" s="139">
        <v>14.24</v>
      </c>
      <c r="H69" s="137">
        <v>46205</v>
      </c>
      <c r="I69" s="139">
        <v>14.24</v>
      </c>
      <c r="J69" s="106"/>
      <c r="K69" t="str">
        <f>IF(A69&gt;0,VLOOKUP(A69,טבלאות!$J:$K,2,0),"")</f>
        <v>אשראי מיכה</v>
      </c>
      <c r="L69" s="50" t="str">
        <f>IF(ISERROR(VLOOKUP(B69,טבלאות!$G:$H,2,0)),"",VLOOKUP(B69,טבלאות!$G:$H,2,0))</f>
        <v>מזון ומשקאות</v>
      </c>
      <c r="M69" s="51">
        <f t="shared" si="1"/>
        <v>14.24</v>
      </c>
    </row>
    <row r="70" spans="1:13" hidden="1">
      <c r="A70" s="105" t="s">
        <v>1355</v>
      </c>
      <c r="B70" t="s">
        <v>541</v>
      </c>
      <c r="C70" s="137">
        <v>46187</v>
      </c>
      <c r="D70" s="139">
        <v>70.8</v>
      </c>
      <c r="H70" s="137">
        <v>46205</v>
      </c>
      <c r="I70" s="139">
        <v>70.8</v>
      </c>
      <c r="J70" s="106"/>
      <c r="K70" t="str">
        <f>IF(A70&gt;0,VLOOKUP(A70,טבלאות!$J:$K,2,0),"")</f>
        <v>אשראי מיכה</v>
      </c>
      <c r="L70" s="50" t="str">
        <f>IF(ISERROR(VLOOKUP(B70,טבלאות!$G:$H,2,0)),"",VLOOKUP(B70,טבלאות!$G:$H,2,0))</f>
        <v>רכב ותחבורה</v>
      </c>
      <c r="M70" s="51">
        <f t="shared" si="1"/>
        <v>70.8</v>
      </c>
    </row>
    <row r="71" spans="1:13" hidden="1">
      <c r="A71" s="105" t="s">
        <v>1355</v>
      </c>
      <c r="B71" t="s">
        <v>541</v>
      </c>
      <c r="C71" s="137">
        <v>46187</v>
      </c>
      <c r="D71" s="139">
        <v>90</v>
      </c>
      <c r="H71" s="137">
        <v>46205</v>
      </c>
      <c r="I71" s="139">
        <v>90</v>
      </c>
      <c r="J71" s="106"/>
      <c r="K71" t="str">
        <f>IF(A71&gt;0,VLOOKUP(A71,טבלאות!$J:$K,2,0),"")</f>
        <v>אשראי מיכה</v>
      </c>
      <c r="L71" s="50" t="str">
        <f>IF(ISERROR(VLOOKUP(B71,טבלאות!$G:$H,2,0)),"",VLOOKUP(B71,טבלאות!$G:$H,2,0))</f>
        <v>רכב ותחבורה</v>
      </c>
      <c r="M71" s="51">
        <f t="shared" si="1"/>
        <v>90</v>
      </c>
    </row>
    <row r="72" spans="1:13" hidden="1">
      <c r="A72" s="105" t="s">
        <v>1355</v>
      </c>
      <c r="B72" t="s">
        <v>518</v>
      </c>
      <c r="C72" s="137">
        <v>46184</v>
      </c>
      <c r="D72" s="139">
        <v>138.30000000000001</v>
      </c>
      <c r="H72" s="137">
        <v>46205</v>
      </c>
      <c r="I72" s="139">
        <v>138.30000000000001</v>
      </c>
      <c r="K72" t="str">
        <f>IF(A72&gt;0,VLOOKUP(A72,טבלאות!$J:$K,2,0),"")</f>
        <v>אשראי מיכה</v>
      </c>
      <c r="L72" s="50" t="str">
        <f>IF(ISERROR(VLOOKUP(B72,טבלאות!$G:$H,2,0)),"",VLOOKUP(B72,טבלאות!$G:$H,2,0))</f>
        <v>מזון ומשקאות</v>
      </c>
      <c r="M72" s="51">
        <f t="shared" si="1"/>
        <v>138.30000000000001</v>
      </c>
    </row>
    <row r="73" spans="1:13" hidden="1">
      <c r="A73" s="105" t="s">
        <v>1355</v>
      </c>
      <c r="B73" t="s">
        <v>649</v>
      </c>
      <c r="C73" s="137">
        <v>46182</v>
      </c>
      <c r="D73" s="139">
        <v>36</v>
      </c>
      <c r="H73" s="137">
        <v>46205</v>
      </c>
      <c r="I73" s="139">
        <v>36</v>
      </c>
      <c r="K73" t="str">
        <f>IF(A73&gt;0,VLOOKUP(A73,טבלאות!$J:$K,2,0),"")</f>
        <v>אשראי מיכה</v>
      </c>
      <c r="L73" s="50" t="str">
        <f>IF(ISERROR(VLOOKUP(B73,טבלאות!$G:$H,2,0)),"",VLOOKUP(B73,טבלאות!$G:$H,2,0))</f>
        <v>מזון ומשקאות</v>
      </c>
      <c r="M73" s="51">
        <f t="shared" si="1"/>
        <v>36</v>
      </c>
    </row>
    <row r="74" spans="1:13" hidden="1">
      <c r="A74" s="105" t="s">
        <v>1355</v>
      </c>
      <c r="B74" t="s">
        <v>1155</v>
      </c>
      <c r="C74" s="137">
        <v>46182</v>
      </c>
      <c r="D74" s="139">
        <v>621.9</v>
      </c>
      <c r="H74" s="137">
        <v>46205</v>
      </c>
      <c r="I74" s="139">
        <v>621.9</v>
      </c>
      <c r="K74" t="str">
        <f>IF(A74&gt;0,VLOOKUP(A74,טבלאות!$J:$K,2,0),"")</f>
        <v>אשראי מיכה</v>
      </c>
      <c r="L74" s="50" t="str">
        <f>IF(ISERROR(VLOOKUP(B74,טבלאות!$G:$H,2,0)),"",VLOOKUP(B74,טבלאות!$G:$H,2,0))</f>
        <v>מזון ומשקאות</v>
      </c>
      <c r="M74" s="51">
        <f t="shared" si="1"/>
        <v>621.9</v>
      </c>
    </row>
    <row r="75" spans="1:13" hidden="1">
      <c r="A75" s="105" t="s">
        <v>1355</v>
      </c>
      <c r="B75" t="s">
        <v>525</v>
      </c>
      <c r="C75" s="137">
        <v>46180</v>
      </c>
      <c r="D75" s="139">
        <v>2</v>
      </c>
      <c r="H75" s="137">
        <v>46205</v>
      </c>
      <c r="I75" s="139">
        <v>2</v>
      </c>
      <c r="K75" t="str">
        <f>IF(A75&gt;0,VLOOKUP(A75,טבלאות!$J:$K,2,0),"")</f>
        <v>אשראי מיכה</v>
      </c>
      <c r="L75" s="50" t="str">
        <f>IF(ISERROR(VLOOKUP(B75,טבלאות!$G:$H,2,0)),"",VLOOKUP(B75,טבלאות!$G:$H,2,0))</f>
        <v>רכב ותחבורה</v>
      </c>
      <c r="M75" s="51">
        <f t="shared" si="1"/>
        <v>2</v>
      </c>
    </row>
    <row r="76" spans="1:13" hidden="1">
      <c r="A76" s="105" t="s">
        <v>1355</v>
      </c>
      <c r="B76" t="s">
        <v>67</v>
      </c>
      <c r="C76" s="137">
        <v>46180</v>
      </c>
      <c r="D76" s="139">
        <v>16.600000000000001</v>
      </c>
      <c r="H76" s="137">
        <v>46205</v>
      </c>
      <c r="I76" s="139">
        <v>16.600000000000001</v>
      </c>
      <c r="K76" t="str">
        <f>IF(A76&gt;0,VLOOKUP(A76,טבלאות!$J:$K,2,0),"")</f>
        <v>אשראי מיכה</v>
      </c>
      <c r="L76" s="50" t="str">
        <f>IF(ISERROR(VLOOKUP(B76,טבלאות!$G:$H,2,0)),"",VLOOKUP(B76,טבלאות!$G:$H,2,0))</f>
        <v>מזון ומשקאות</v>
      </c>
      <c r="M76" s="51">
        <f t="shared" si="1"/>
        <v>16.600000000000001</v>
      </c>
    </row>
    <row r="77" spans="1:13" hidden="1">
      <c r="A77" s="105" t="s">
        <v>1355</v>
      </c>
      <c r="B77" t="s">
        <v>541</v>
      </c>
      <c r="C77" s="137">
        <v>46180</v>
      </c>
      <c r="D77" s="139">
        <v>90</v>
      </c>
      <c r="H77" s="137">
        <v>46205</v>
      </c>
      <c r="I77" s="139">
        <v>90</v>
      </c>
      <c r="K77" t="str">
        <f>IF(A77&gt;0,VLOOKUP(A77,טבלאות!$J:$K,2,0),"")</f>
        <v>אשראי מיכה</v>
      </c>
      <c r="L77" s="50" t="str">
        <f>IF(ISERROR(VLOOKUP(B77,טבלאות!$G:$H,2,0)),"",VLOOKUP(B77,טבלאות!$G:$H,2,0))</f>
        <v>רכב ותחבורה</v>
      </c>
      <c r="M77" s="51">
        <f t="shared" ref="M77:M83" si="2">IF(OR(L77="",L77="?"),"",IF(L77&gt;0,I77,""))</f>
        <v>90</v>
      </c>
    </row>
    <row r="78" spans="1:13" hidden="1">
      <c r="A78" s="105" t="s">
        <v>1355</v>
      </c>
      <c r="B78" t="s">
        <v>76</v>
      </c>
      <c r="C78" s="137">
        <v>46180</v>
      </c>
      <c r="D78" s="139">
        <v>154</v>
      </c>
      <c r="H78" s="137">
        <v>46205</v>
      </c>
      <c r="I78" s="139">
        <v>154</v>
      </c>
      <c r="K78" t="str">
        <f>IF(A78&gt;0,VLOOKUP(A78,טבלאות!$J:$K,2,0),"")</f>
        <v>אשראי מיכה</v>
      </c>
      <c r="L78" s="50" t="str">
        <f>IF(ISERROR(VLOOKUP(B78,טבלאות!$G:$H,2,0)),"",VLOOKUP(B78,טבלאות!$G:$H,2,0))</f>
        <v>בריאות</v>
      </c>
      <c r="M78" s="51">
        <f t="shared" si="2"/>
        <v>154</v>
      </c>
    </row>
    <row r="79" spans="1:13" hidden="1">
      <c r="A79" s="105" t="s">
        <v>1355</v>
      </c>
      <c r="B79" t="s">
        <v>1630</v>
      </c>
      <c r="C79" s="137">
        <v>46180</v>
      </c>
      <c r="D79" s="139">
        <v>55.23</v>
      </c>
      <c r="H79" s="137">
        <v>46205</v>
      </c>
      <c r="I79" s="139">
        <v>55.23</v>
      </c>
      <c r="K79" t="str">
        <f>IF(A79&gt;0,VLOOKUP(A79,טבלאות!$J:$K,2,0),"")</f>
        <v>אשראי מיכה</v>
      </c>
      <c r="L79" s="50" t="str">
        <f>IF(ISERROR(VLOOKUP(B79,טבלאות!$G:$H,2,0)),"",VLOOKUP(B79,טבלאות!$G:$H,2,0))</f>
        <v>ביטוח</v>
      </c>
      <c r="M79" s="51">
        <f t="shared" si="2"/>
        <v>55.23</v>
      </c>
    </row>
    <row r="80" spans="1:13" hidden="1">
      <c r="A80" s="105" t="s">
        <v>1355</v>
      </c>
      <c r="B80" t="s">
        <v>246</v>
      </c>
      <c r="C80" s="137">
        <v>46180</v>
      </c>
      <c r="D80" s="139">
        <v>50</v>
      </c>
      <c r="H80" s="137">
        <v>46205</v>
      </c>
      <c r="I80" s="139">
        <v>50</v>
      </c>
      <c r="K80" t="str">
        <f>IF(A80&gt;0,VLOOKUP(A80,טבלאות!$J:$K,2,0),"")</f>
        <v>אשראי מיכה</v>
      </c>
      <c r="L80" s="50" t="str">
        <f>IF(ISERROR(VLOOKUP(B80,טבלאות!$G:$H,2,0)),"",VLOOKUP(B80,טבלאות!$G:$H,2,0))</f>
        <v>חוגים</v>
      </c>
      <c r="M80" s="51">
        <f t="shared" si="2"/>
        <v>50</v>
      </c>
    </row>
    <row r="81" spans="1:13" hidden="1">
      <c r="A81" s="105" t="s">
        <v>1355</v>
      </c>
      <c r="B81" t="s">
        <v>1632</v>
      </c>
      <c r="C81" s="137">
        <v>46180</v>
      </c>
      <c r="D81" s="139">
        <v>187.81</v>
      </c>
      <c r="H81" s="137">
        <v>46205</v>
      </c>
      <c r="I81" s="139">
        <v>187.81</v>
      </c>
      <c r="K81" t="str">
        <f>IF(A81&gt;0,VLOOKUP(A81,טבלאות!$J:$K,2,0),"")</f>
        <v>אשראי מיכה</v>
      </c>
      <c r="L81" s="50" t="str">
        <f>IF(ISERROR(VLOOKUP(B81,טבלאות!$G:$H,2,0)),"",VLOOKUP(B81,טבלאות!$G:$H,2,0))</f>
        <v>נופש</v>
      </c>
      <c r="M81" s="51">
        <f t="shared" si="2"/>
        <v>187.81</v>
      </c>
    </row>
    <row r="82" spans="1:13" hidden="1">
      <c r="A82" s="105" t="s">
        <v>1355</v>
      </c>
      <c r="B82" t="s">
        <v>942</v>
      </c>
      <c r="C82" s="137">
        <v>46179</v>
      </c>
      <c r="D82" s="139">
        <v>21</v>
      </c>
      <c r="H82" s="137">
        <v>46205</v>
      </c>
      <c r="I82" s="139">
        <v>21</v>
      </c>
      <c r="K82" t="str">
        <f>IF(A82&gt;0,VLOOKUP(A82,טבלאות!$J:$K,2,0),"")</f>
        <v>אשראי מיכה</v>
      </c>
      <c r="L82" s="50" t="str">
        <f>IF(ISERROR(VLOOKUP(B82,טבלאות!$G:$H,2,0)),"",VLOOKUP(B82,טבלאות!$G:$H,2,0))</f>
        <v>רכב ותחבורה</v>
      </c>
      <c r="M82" s="51">
        <f t="shared" si="2"/>
        <v>21</v>
      </c>
    </row>
    <row r="83" spans="1:13" hidden="1">
      <c r="A83" s="105" t="s">
        <v>1355</v>
      </c>
      <c r="B83" t="s">
        <v>942</v>
      </c>
      <c r="C83" s="137">
        <v>46179</v>
      </c>
      <c r="D83" s="139">
        <v>30</v>
      </c>
      <c r="H83" s="137">
        <v>46205</v>
      </c>
      <c r="I83" s="139">
        <v>30</v>
      </c>
      <c r="K83" t="str">
        <f>IF(A83&gt;0,VLOOKUP(A83,טבלאות!$J:$K,2,0),"")</f>
        <v>אשראי מיכה</v>
      </c>
      <c r="L83" s="50" t="str">
        <f>IF(ISERROR(VLOOKUP(B83,טבלאות!$G:$H,2,0)),"",VLOOKUP(B83,טבלאות!$G:$H,2,0))</f>
        <v>רכב ותחבורה</v>
      </c>
      <c r="M83" s="51">
        <f t="shared" si="2"/>
        <v>30</v>
      </c>
    </row>
    <row r="84" spans="1:13" hidden="1">
      <c r="A84" s="105" t="s">
        <v>1355</v>
      </c>
      <c r="B84" t="s">
        <v>67</v>
      </c>
      <c r="C84" s="137">
        <v>46179</v>
      </c>
      <c r="D84" s="139">
        <v>76.069999999999993</v>
      </c>
      <c r="H84" s="137">
        <v>46205</v>
      </c>
      <c r="I84" s="139">
        <v>76.069999999999993</v>
      </c>
      <c r="K84" t="str">
        <f>IF(A84&gt;0,VLOOKUP(A84,טבלאות!$J:$K,2,0),"")</f>
        <v>אשראי מיכה</v>
      </c>
      <c r="L84" s="50" t="str">
        <f>IF(ISERROR(VLOOKUP(B84,טבלאות!$G:$H,2,0)),"",VLOOKUP(B84,טבלאות!$G:$H,2,0))</f>
        <v>מזון ומשקאות</v>
      </c>
      <c r="M84" s="51">
        <f t="shared" si="1"/>
        <v>76.069999999999993</v>
      </c>
    </row>
    <row r="85" spans="1:13" hidden="1">
      <c r="A85" s="105" t="s">
        <v>1355</v>
      </c>
      <c r="B85" t="s">
        <v>368</v>
      </c>
      <c r="C85" s="137">
        <v>46178</v>
      </c>
      <c r="D85" s="139">
        <v>249.5</v>
      </c>
      <c r="H85" s="137">
        <v>46205</v>
      </c>
      <c r="I85" s="139">
        <v>249.5</v>
      </c>
      <c r="K85" t="str">
        <f>IF(A85&gt;0,VLOOKUP(A85,טבלאות!$J:$K,2,0),"")</f>
        <v>אשראי מיכה</v>
      </c>
      <c r="L85" s="50" t="str">
        <f>IF(ISERROR(VLOOKUP(B85,טבלאות!$G:$H,2,0)),"",VLOOKUP(B85,טבלאות!$G:$H,2,0))</f>
        <v>בית וגן</v>
      </c>
      <c r="M85" s="51">
        <f t="shared" si="1"/>
        <v>249.5</v>
      </c>
    </row>
    <row r="86" spans="1:13" hidden="1">
      <c r="A86" s="105" t="s">
        <v>1355</v>
      </c>
      <c r="B86" t="s">
        <v>1512</v>
      </c>
      <c r="C86" s="137">
        <v>46178</v>
      </c>
      <c r="D86" s="139">
        <v>20</v>
      </c>
      <c r="H86" s="137">
        <v>46205</v>
      </c>
      <c r="I86" s="139">
        <v>20</v>
      </c>
      <c r="K86" t="str">
        <f>IF(A86&gt;0,VLOOKUP(A86,טבלאות!$J:$K,2,0),"")</f>
        <v>אשראי מיכה</v>
      </c>
      <c r="L86" s="50" t="str">
        <f>IF(ISERROR(VLOOKUP(B86,טבלאות!$G:$H,2,0)),"",VLOOKUP(B86,טבלאות!$G:$H,2,0))</f>
        <v>מזון ומשקאות</v>
      </c>
      <c r="M86" s="51">
        <f t="shared" si="1"/>
        <v>20</v>
      </c>
    </row>
    <row r="87" spans="1:13" hidden="1">
      <c r="A87" s="105" t="s">
        <v>1355</v>
      </c>
      <c r="B87" t="s">
        <v>1621</v>
      </c>
      <c r="C87" s="137">
        <v>46178</v>
      </c>
      <c r="D87" s="139">
        <v>42.62</v>
      </c>
      <c r="H87" s="137">
        <v>46205</v>
      </c>
      <c r="I87" s="139">
        <v>42.62</v>
      </c>
      <c r="K87" t="str">
        <f>IF(A87&gt;0,VLOOKUP(A87,טבלאות!$J:$K,2,0),"")</f>
        <v>אשראי מיכה</v>
      </c>
      <c r="L87" s="50" t="str">
        <f>IF(ISERROR(VLOOKUP(B87,טבלאות!$G:$H,2,0)),"",VLOOKUP(B87,טבלאות!$G:$H,2,0))</f>
        <v>בריאות</v>
      </c>
      <c r="M87" s="51">
        <f t="shared" si="1"/>
        <v>42.62</v>
      </c>
    </row>
    <row r="88" spans="1:13" hidden="1">
      <c r="A88" s="105" t="s">
        <v>1355</v>
      </c>
      <c r="B88" t="s">
        <v>518</v>
      </c>
      <c r="C88" s="137">
        <v>46178</v>
      </c>
      <c r="D88" s="139">
        <v>15.9</v>
      </c>
      <c r="H88" s="137">
        <v>46205</v>
      </c>
      <c r="I88" s="139">
        <v>15.9</v>
      </c>
      <c r="K88" t="str">
        <f>IF(A88&gt;0,VLOOKUP(A88,טבלאות!$J:$K,2,0),"")</f>
        <v>אשראי מיכה</v>
      </c>
      <c r="L88" s="50" t="str">
        <f>IF(ISERROR(VLOOKUP(B88,טבלאות!$G:$H,2,0)),"",VLOOKUP(B88,טבלאות!$G:$H,2,0))</f>
        <v>מזון ומשקאות</v>
      </c>
      <c r="M88" s="51">
        <f t="shared" si="1"/>
        <v>15.9</v>
      </c>
    </row>
    <row r="89" spans="1:13" hidden="1">
      <c r="A89" s="105" t="s">
        <v>1355</v>
      </c>
      <c r="B89" t="s">
        <v>518</v>
      </c>
      <c r="C89" s="137">
        <v>46177</v>
      </c>
      <c r="D89" s="139">
        <v>17.22</v>
      </c>
      <c r="H89" s="137">
        <v>46205</v>
      </c>
      <c r="I89" s="139">
        <v>17.22</v>
      </c>
      <c r="K89" t="str">
        <f>IF(A89&gt;0,VLOOKUP(A89,טבלאות!$J:$K,2,0),"")</f>
        <v>אשראי מיכה</v>
      </c>
      <c r="L89" s="50" t="str">
        <f>IF(ISERROR(VLOOKUP(B89,טבלאות!$G:$H,2,0)),"",VLOOKUP(B89,טבלאות!$G:$H,2,0))</f>
        <v>מזון ומשקאות</v>
      </c>
      <c r="M89" s="51">
        <f t="shared" si="1"/>
        <v>17.22</v>
      </c>
    </row>
    <row r="90" spans="1:13" hidden="1">
      <c r="A90" s="105" t="s">
        <v>1355</v>
      </c>
      <c r="B90" t="s">
        <v>1437</v>
      </c>
      <c r="C90" s="137">
        <v>46177</v>
      </c>
      <c r="D90" s="139">
        <v>21.68</v>
      </c>
      <c r="H90" s="137">
        <v>46205</v>
      </c>
      <c r="I90" s="139">
        <v>21.68</v>
      </c>
      <c r="K90" t="str">
        <f>IF(A90&gt;0,VLOOKUP(A90,טבלאות!$J:$K,2,0),"")</f>
        <v>אשראי מיכה</v>
      </c>
      <c r="L90" s="50" t="str">
        <f>IF(ISERROR(VLOOKUP(B90,טבלאות!$G:$H,2,0)),"",VLOOKUP(B90,טבלאות!$G:$H,2,0))</f>
        <v>מתנות ומזכרות</v>
      </c>
      <c r="M90" s="51">
        <f t="shared" si="1"/>
        <v>21.68</v>
      </c>
    </row>
    <row r="91" spans="1:13" hidden="1">
      <c r="A91" s="105" t="s">
        <v>1355</v>
      </c>
      <c r="B91" t="s">
        <v>1193</v>
      </c>
      <c r="C91" s="137">
        <v>46176</v>
      </c>
      <c r="D91" s="139">
        <v>88.78</v>
      </c>
      <c r="H91" s="137">
        <v>46205</v>
      </c>
      <c r="I91" s="139">
        <v>88.78</v>
      </c>
      <c r="K91" t="str">
        <f>IF(A91&gt;0,VLOOKUP(A91,טבלאות!$J:$K,2,0),"")</f>
        <v>אשראי מיכה</v>
      </c>
      <c r="L91" s="50" t="str">
        <f>IF(ISERROR(VLOOKUP(B91,טבלאות!$G:$H,2,0)),"",VLOOKUP(B91,טבלאות!$G:$H,2,0))</f>
        <v>מזון ומשקאות</v>
      </c>
      <c r="M91" s="51">
        <f t="shared" si="1"/>
        <v>88.78</v>
      </c>
    </row>
    <row r="92" spans="1:13" hidden="1">
      <c r="A92" s="105" t="s">
        <v>1355</v>
      </c>
      <c r="B92" t="s">
        <v>1155</v>
      </c>
      <c r="C92" s="137">
        <v>46176</v>
      </c>
      <c r="D92" s="139">
        <v>506.1</v>
      </c>
      <c r="H92" s="137">
        <v>46205</v>
      </c>
      <c r="I92" s="139">
        <v>506.1</v>
      </c>
      <c r="K92" t="str">
        <f>IF(A92&gt;0,VLOOKUP(A92,טבלאות!$J:$K,2,0),"")</f>
        <v>אשראי מיכה</v>
      </c>
      <c r="L92" s="50" t="str">
        <f>IF(ISERROR(VLOOKUP(B92,טבלאות!$G:$H,2,0)),"",VLOOKUP(B92,טבלאות!$G:$H,2,0))</f>
        <v>מזון ומשקאות</v>
      </c>
      <c r="M92" s="51">
        <f t="shared" si="1"/>
        <v>506.1</v>
      </c>
    </row>
    <row r="93" spans="1:13" hidden="1">
      <c r="A93" s="105" t="s">
        <v>1355</v>
      </c>
      <c r="B93" t="s">
        <v>1633</v>
      </c>
      <c r="C93" s="137">
        <v>46176</v>
      </c>
      <c r="D93" s="139">
        <v>50</v>
      </c>
      <c r="H93" s="137">
        <v>46205</v>
      </c>
      <c r="I93" s="139">
        <v>50</v>
      </c>
      <c r="K93" t="str">
        <f>IF(A93&gt;0,VLOOKUP(A93,טבלאות!$J:$K,2,0),"")</f>
        <v>אשראי מיכה</v>
      </c>
      <c r="L93" s="50" t="str">
        <f>IF(ISERROR(VLOOKUP(B93,טבלאות!$G:$H,2,0)),"",VLOOKUP(B93,טבלאות!$G:$H,2,0))</f>
        <v>ביגוד והנעלה</v>
      </c>
      <c r="M93" s="51">
        <f t="shared" si="1"/>
        <v>50</v>
      </c>
    </row>
    <row r="94" spans="1:13" hidden="1">
      <c r="A94" s="105" t="s">
        <v>1355</v>
      </c>
      <c r="B94" t="s">
        <v>1404</v>
      </c>
      <c r="C94" s="137">
        <v>46176</v>
      </c>
      <c r="D94" s="139">
        <v>30</v>
      </c>
      <c r="H94" s="137">
        <v>46205</v>
      </c>
      <c r="I94" s="139">
        <v>30</v>
      </c>
      <c r="K94" t="str">
        <f>IF(A94&gt;0,VLOOKUP(A94,טבלאות!$J:$K,2,0),"")</f>
        <v>אשראי מיכה</v>
      </c>
      <c r="L94" s="50" t="str">
        <f>IF(ISERROR(VLOOKUP(B94,טבלאות!$G:$H,2,0)),"",VLOOKUP(B94,טבלאות!$G:$H,2,0))</f>
        <v>רכב ותחבורה</v>
      </c>
      <c r="M94" s="51">
        <f t="shared" si="1"/>
        <v>30</v>
      </c>
    </row>
    <row r="95" spans="1:13" hidden="1">
      <c r="A95" s="105" t="s">
        <v>1355</v>
      </c>
      <c r="B95" t="s">
        <v>649</v>
      </c>
      <c r="C95" s="137">
        <v>46176</v>
      </c>
      <c r="D95" s="139">
        <v>72</v>
      </c>
      <c r="H95" s="137">
        <v>46205</v>
      </c>
      <c r="I95" s="139">
        <v>72</v>
      </c>
      <c r="K95" t="str">
        <f>IF(A95&gt;0,VLOOKUP(A95,טבלאות!$J:$K,2,0),"")</f>
        <v>אשראי מיכה</v>
      </c>
      <c r="L95" s="50" t="str">
        <f>IF(ISERROR(VLOOKUP(B95,טבלאות!$G:$H,2,0)),"",VLOOKUP(B95,טבלאות!$G:$H,2,0))</f>
        <v>מזון ומשקאות</v>
      </c>
      <c r="M95" s="51">
        <f t="shared" si="1"/>
        <v>72</v>
      </c>
    </row>
    <row r="96" spans="1:13" hidden="1">
      <c r="A96" s="105" t="s">
        <v>1355</v>
      </c>
      <c r="B96" t="s">
        <v>1634</v>
      </c>
      <c r="C96" s="137">
        <v>46176</v>
      </c>
      <c r="D96" s="139">
        <v>18</v>
      </c>
      <c r="H96" s="137">
        <v>46205</v>
      </c>
      <c r="I96" s="139">
        <v>18</v>
      </c>
      <c r="K96" t="str">
        <f>IF(A96&gt;0,VLOOKUP(A96,טבלאות!$J:$K,2,0),"")</f>
        <v>אשראי מיכה</v>
      </c>
      <c r="L96" s="50" t="str">
        <f>IF(ISERROR(VLOOKUP(B96,טבלאות!$G:$H,2,0)),"",VLOOKUP(B96,טבלאות!$G:$H,2,0))</f>
        <v>בית וגן</v>
      </c>
      <c r="M96" s="51">
        <f t="shared" si="1"/>
        <v>18</v>
      </c>
    </row>
    <row r="97" spans="1:13" hidden="1">
      <c r="A97" s="105" t="s">
        <v>1355</v>
      </c>
      <c r="B97" t="s">
        <v>246</v>
      </c>
      <c r="C97" s="137">
        <v>46176</v>
      </c>
      <c r="D97" s="139">
        <v>50</v>
      </c>
      <c r="H97" s="137">
        <v>46205</v>
      </c>
      <c r="I97" s="139">
        <v>50</v>
      </c>
      <c r="K97" t="str">
        <f>IF(A97&gt;0,VLOOKUP(A97,טבלאות!$J:$K,2,0),"")</f>
        <v>אשראי מיכה</v>
      </c>
      <c r="L97" s="50" t="str">
        <f>IF(ISERROR(VLOOKUP(B97,טבלאות!$G:$H,2,0)),"",VLOOKUP(B97,טבלאות!$G:$H,2,0))</f>
        <v>חוגים</v>
      </c>
      <c r="M97" s="51">
        <f t="shared" ref="M97:M104" si="3">IF(OR(L97="",L97="?"),"",IF(L97&gt;0,I97,""))</f>
        <v>50</v>
      </c>
    </row>
    <row r="98" spans="1:13" hidden="1">
      <c r="A98" s="105" t="s">
        <v>1355</v>
      </c>
      <c r="B98" t="s">
        <v>1634</v>
      </c>
      <c r="C98" s="137">
        <v>46175</v>
      </c>
      <c r="D98" s="139">
        <v>18</v>
      </c>
      <c r="H98" s="137">
        <v>46205</v>
      </c>
      <c r="I98" s="139">
        <v>18</v>
      </c>
      <c r="K98" t="str">
        <f>IF(A98&gt;0,VLOOKUP(A98,טבלאות!$J:$K,2,0),"")</f>
        <v>אשראי מיכה</v>
      </c>
      <c r="L98" s="50" t="str">
        <f>IF(ISERROR(VLOOKUP(B98,טבלאות!$G:$H,2,0)),"",VLOOKUP(B98,טבלאות!$G:$H,2,0))</f>
        <v>בית וגן</v>
      </c>
      <c r="M98" s="51">
        <f t="shared" si="3"/>
        <v>18</v>
      </c>
    </row>
    <row r="99" spans="1:13" hidden="1">
      <c r="A99" s="105" t="s">
        <v>1355</v>
      </c>
      <c r="B99" t="s">
        <v>1155</v>
      </c>
      <c r="C99" s="137">
        <v>46175</v>
      </c>
      <c r="D99" s="139">
        <v>16.5</v>
      </c>
      <c r="H99" s="137">
        <v>46205</v>
      </c>
      <c r="I99" s="139">
        <v>16.5</v>
      </c>
      <c r="K99" t="str">
        <f>IF(A99&gt;0,VLOOKUP(A99,טבלאות!$J:$K,2,0),"")</f>
        <v>אשראי מיכה</v>
      </c>
      <c r="L99" s="50" t="str">
        <f>IF(ISERROR(VLOOKUP(B99,טבלאות!$G:$H,2,0)),"",VLOOKUP(B99,טבלאות!$G:$H,2,0))</f>
        <v>מזון ומשקאות</v>
      </c>
      <c r="M99" s="51">
        <f t="shared" si="3"/>
        <v>16.5</v>
      </c>
    </row>
    <row r="100" spans="1:13" hidden="1">
      <c r="A100" s="105" t="s">
        <v>1355</v>
      </c>
      <c r="B100" t="s">
        <v>255</v>
      </c>
      <c r="C100" s="137">
        <v>46175</v>
      </c>
      <c r="D100" s="139">
        <v>39</v>
      </c>
      <c r="H100" s="137">
        <v>46205</v>
      </c>
      <c r="I100" s="139">
        <v>39</v>
      </c>
      <c r="K100" t="str">
        <f>IF(A100&gt;0,VLOOKUP(A100,טבלאות!$J:$K,2,0),"")</f>
        <v>אשראי מיכה</v>
      </c>
      <c r="L100" s="50" t="str">
        <f>IF(ISERROR(VLOOKUP(B100,טבלאות!$G:$H,2,0)),"",VLOOKUP(B100,טבלאות!$G:$H,2,0))</f>
        <v>מוצרי חשמל ותקשורת</v>
      </c>
      <c r="M100" s="51">
        <f t="shared" si="3"/>
        <v>39</v>
      </c>
    </row>
    <row r="101" spans="1:13" hidden="1">
      <c r="A101" s="105" t="s">
        <v>1355</v>
      </c>
      <c r="B101" t="s">
        <v>518</v>
      </c>
      <c r="C101" s="137">
        <v>46174</v>
      </c>
      <c r="D101" s="139">
        <v>18.5</v>
      </c>
      <c r="H101" s="137">
        <v>46205</v>
      </c>
      <c r="I101" s="139">
        <v>18.5</v>
      </c>
      <c r="K101" t="str">
        <f>IF(A101&gt;0,VLOOKUP(A101,טבלאות!$J:$K,2,0),"")</f>
        <v>אשראי מיכה</v>
      </c>
      <c r="L101" s="50" t="str">
        <f>IF(ISERROR(VLOOKUP(B101,טבלאות!$G:$H,2,0)),"",VLOOKUP(B101,טבלאות!$G:$H,2,0))</f>
        <v>מזון ומשקאות</v>
      </c>
      <c r="M101" s="51">
        <f t="shared" si="3"/>
        <v>18.5</v>
      </c>
    </row>
    <row r="102" spans="1:13" hidden="1">
      <c r="A102" s="105" t="s">
        <v>1355</v>
      </c>
      <c r="B102" t="s">
        <v>246</v>
      </c>
      <c r="C102" s="137">
        <v>46174</v>
      </c>
      <c r="D102" s="139">
        <v>150</v>
      </c>
      <c r="H102" s="137">
        <v>46205</v>
      </c>
      <c r="I102" s="139">
        <v>150</v>
      </c>
      <c r="K102" t="str">
        <f>IF(A102&gt;0,VLOOKUP(A102,טבלאות!$J:$K,2,0),"")</f>
        <v>אשראי מיכה</v>
      </c>
      <c r="L102" s="50" t="str">
        <f>IF(ISERROR(VLOOKUP(B102,טבלאות!$G:$H,2,0)),"",VLOOKUP(B102,טבלאות!$G:$H,2,0))</f>
        <v>חוגים</v>
      </c>
      <c r="M102" s="51">
        <f t="shared" si="3"/>
        <v>150</v>
      </c>
    </row>
    <row r="103" spans="1:13" hidden="1">
      <c r="A103" s="105" t="s">
        <v>1355</v>
      </c>
      <c r="B103" t="s">
        <v>1245</v>
      </c>
      <c r="C103" s="137">
        <v>46154</v>
      </c>
      <c r="D103" s="139">
        <v>3394</v>
      </c>
      <c r="H103" s="137">
        <v>46205</v>
      </c>
      <c r="I103" s="139">
        <v>1697</v>
      </c>
      <c r="K103" t="str">
        <f>IF(A103&gt;0,VLOOKUP(A103,טבלאות!$J:$K,2,0),"")</f>
        <v>אשראי מיכה</v>
      </c>
      <c r="L103" s="50" t="str">
        <f>IF(ISERROR(VLOOKUP(B103,טבלאות!$G:$H,2,0)),"",VLOOKUP(B103,טבלאות!$G:$H,2,0))</f>
        <v>רכב ותחבורה</v>
      </c>
      <c r="M103" s="51">
        <f t="shared" si="3"/>
        <v>1697</v>
      </c>
    </row>
    <row r="104" spans="1:13" hidden="1">
      <c r="A104" t="s">
        <v>626</v>
      </c>
      <c r="B104" t="s">
        <v>1155</v>
      </c>
      <c r="C104" s="137">
        <v>46203</v>
      </c>
      <c r="D104" s="139">
        <v>25.8</v>
      </c>
      <c r="H104" s="137">
        <v>46205</v>
      </c>
      <c r="I104" s="139">
        <v>25.8</v>
      </c>
      <c r="K104" t="str">
        <f>IF(A104&gt;0,VLOOKUP(A104,טבלאות!$J:$K,2,0),"")</f>
        <v>שופרסל</v>
      </c>
      <c r="L104" s="50" t="str">
        <f>IF(ISERROR(VLOOKUP(B104,טבלאות!$G:$H,2,0)),"",VLOOKUP(B104,טבלאות!$G:$H,2,0))</f>
        <v>מזון ומשקאות</v>
      </c>
      <c r="M104" s="51">
        <f t="shared" si="3"/>
        <v>25.8</v>
      </c>
    </row>
    <row r="105" spans="1:13" hidden="1">
      <c r="A105" t="s">
        <v>626</v>
      </c>
      <c r="B105" t="s">
        <v>1022</v>
      </c>
      <c r="C105" s="137">
        <v>46198</v>
      </c>
      <c r="D105" s="143">
        <v>450</v>
      </c>
      <c r="H105" s="137">
        <v>46205</v>
      </c>
      <c r="I105" s="139">
        <v>1582.38</v>
      </c>
      <c r="K105" t="str">
        <f>IF(A105&gt;0,VLOOKUP(A105,טבלאות!$J:$K,2,0),"")</f>
        <v>שופרסל</v>
      </c>
      <c r="L105" s="50" t="str">
        <f>IF(ISERROR(VLOOKUP(B105,טבלאות!$G:$H,2,0)),"",VLOOKUP(B105,טבלאות!$G:$H,2,0))</f>
        <v>נופש</v>
      </c>
      <c r="M105" s="51">
        <f t="shared" si="1"/>
        <v>1582.38</v>
      </c>
    </row>
    <row r="106" spans="1:13" hidden="1">
      <c r="A106" t="s">
        <v>626</v>
      </c>
      <c r="B106" t="s">
        <v>262</v>
      </c>
      <c r="C106" s="137">
        <v>46191</v>
      </c>
      <c r="D106" s="139">
        <v>8.3000000000000007</v>
      </c>
      <c r="H106" s="137">
        <v>46205</v>
      </c>
      <c r="I106" s="139">
        <v>8.3000000000000007</v>
      </c>
      <c r="K106" t="str">
        <f>IF(A106&gt;0,VLOOKUP(A106,טבלאות!$J:$K,2,0),"")</f>
        <v>שופרסל</v>
      </c>
      <c r="L106" s="50" t="str">
        <f>IF(ISERROR(VLOOKUP(B106,טבלאות!$G:$H,2,0)),"",VLOOKUP(B106,טבלאות!$G:$H,2,0))</f>
        <v>מזון ומשקאות</v>
      </c>
      <c r="M106" s="51">
        <f t="shared" si="1"/>
        <v>8.3000000000000007</v>
      </c>
    </row>
    <row r="107" spans="1:13" hidden="1">
      <c r="A107" t="s">
        <v>626</v>
      </c>
      <c r="B107" t="s">
        <v>67</v>
      </c>
      <c r="C107" s="137">
        <v>46186</v>
      </c>
      <c r="D107" s="139">
        <v>73</v>
      </c>
      <c r="H107" s="137">
        <v>46205</v>
      </c>
      <c r="I107" s="139">
        <v>73</v>
      </c>
      <c r="K107" t="str">
        <f>IF(A107&gt;0,VLOOKUP(A107,טבלאות!$J:$K,2,0),"")</f>
        <v>שופרסל</v>
      </c>
      <c r="L107" s="50" t="str">
        <f>IF(ISERROR(VLOOKUP(B107,טבלאות!$G:$H,2,0)),"",VLOOKUP(B107,טבלאות!$G:$H,2,0))</f>
        <v>מזון ומשקאות</v>
      </c>
      <c r="M107" s="51">
        <f t="shared" si="1"/>
        <v>73</v>
      </c>
    </row>
    <row r="108" spans="1:13" hidden="1">
      <c r="A108" t="s">
        <v>626</v>
      </c>
      <c r="B108" t="s">
        <v>1635</v>
      </c>
      <c r="C108" s="137">
        <v>46184</v>
      </c>
      <c r="D108" s="139">
        <v>21.37</v>
      </c>
      <c r="H108" s="137">
        <v>46205</v>
      </c>
      <c r="I108" s="139">
        <v>21.37</v>
      </c>
      <c r="K108" t="str">
        <f>IF(A108&gt;0,VLOOKUP(A108,טבלאות!$J:$K,2,0),"")</f>
        <v>שופרסל</v>
      </c>
      <c r="L108" s="50" t="str">
        <f>IF(ISERROR(VLOOKUP(B108,טבלאות!$G:$H,2,0)),"",VLOOKUP(B108,טבלאות!$G:$H,2,0))</f>
        <v>מזון ומשקאות</v>
      </c>
      <c r="M108" s="51">
        <f t="shared" si="1"/>
        <v>21.37</v>
      </c>
    </row>
    <row r="109" spans="1:13" hidden="1">
      <c r="A109" t="s">
        <v>626</v>
      </c>
      <c r="B109" t="s">
        <v>1636</v>
      </c>
      <c r="C109" s="137">
        <v>46182</v>
      </c>
      <c r="D109" s="139">
        <v>20</v>
      </c>
      <c r="H109" s="137">
        <v>46205</v>
      </c>
      <c r="I109" s="139">
        <v>61.24</v>
      </c>
      <c r="K109" t="str">
        <f>IF(A109&gt;0,VLOOKUP(A109,טבלאות!$J:$K,2,0),"")</f>
        <v>שופרסל</v>
      </c>
      <c r="L109" s="50" t="str">
        <f>IF(ISERROR(VLOOKUP(B109,טבלאות!$G:$H,2,0)),"",VLOOKUP(B109,טבלאות!$G:$H,2,0))</f>
        <v>מוצרי חשמל ותקשורת</v>
      </c>
      <c r="M109" s="51">
        <f t="shared" si="1"/>
        <v>61.24</v>
      </c>
    </row>
    <row r="110" spans="1:13" hidden="1">
      <c r="A110" t="s">
        <v>626</v>
      </c>
      <c r="B110" t="s">
        <v>530</v>
      </c>
      <c r="C110" s="137">
        <v>46177</v>
      </c>
      <c r="D110" s="139">
        <v>32.9</v>
      </c>
      <c r="H110" s="137">
        <v>46205</v>
      </c>
      <c r="I110" s="139">
        <v>32.9</v>
      </c>
      <c r="K110" t="str">
        <f>IF(A110&gt;0,VLOOKUP(A110,טבלאות!$J:$K,2,0),"")</f>
        <v>שופרסל</v>
      </c>
      <c r="L110" s="50" t="str">
        <f>IF(ISERROR(VLOOKUP(B110,טבלאות!$G:$H,2,0)),"",VLOOKUP(B110,טבלאות!$G:$H,2,0))</f>
        <v>רכב ותחבורה</v>
      </c>
      <c r="M110" s="51">
        <f t="shared" si="1"/>
        <v>32.9</v>
      </c>
    </row>
    <row r="111" spans="1:13">
      <c r="A111" t="s">
        <v>626</v>
      </c>
      <c r="B111" t="s">
        <v>109</v>
      </c>
      <c r="C111" s="137">
        <v>46177</v>
      </c>
      <c r="D111" s="139">
        <v>12.9</v>
      </c>
      <c r="H111" s="137">
        <v>46205</v>
      </c>
      <c r="I111" s="139"/>
      <c r="K111" t="str">
        <f>IF(A111&gt;0,VLOOKUP(A111,טבלאות!$J:$K,2,0),"")</f>
        <v>שופרסל</v>
      </c>
      <c r="L111" s="50" t="str">
        <f>IF(ISERROR(VLOOKUP(B111,טבלאות!$G:$H,2,0)),"",VLOOKUP(B111,טבלאות!$G:$H,2,0))</f>
        <v>שירותי בנקאות</v>
      </c>
      <c r="M111" s="51">
        <f t="shared" si="1"/>
        <v>0</v>
      </c>
    </row>
    <row r="112" spans="1:13" hidden="1">
      <c r="K112" t="str">
        <f>IF(A112&gt;0,VLOOKUP(A112,טבלאות!$J:$K,2,0),"")</f>
        <v/>
      </c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1:12" hidden="1">
      <c r="K113" t="str">
        <f>IF(A113&gt;0,VLOOKUP(A113,טבלאות!$J:$K,2,0),"")</f>
        <v/>
      </c>
      <c r="L113" s="50" t="str">
        <f>IF(ISERROR(VLOOKUP(B113,טבלאות!$G:$H,2,0)),"",VLOOKUP(B113,טבלאות!$G:$H,2,0))</f>
        <v/>
      </c>
    </row>
    <row r="114" spans="11:12" hidden="1">
      <c r="K114" t="str">
        <f>IF(A114&gt;0,VLOOKUP(A114,טבלאות!$J:$K,2,0),"")</f>
        <v/>
      </c>
      <c r="L114" s="50" t="str">
        <f>IF(ISERROR(VLOOKUP(B114,טבלאות!$G:$H,2,0)),"",VLOOKUP(B114,טבלאות!$G:$H,2,0))</f>
        <v/>
      </c>
    </row>
    <row r="115" spans="11:12" hidden="1">
      <c r="K115" t="str">
        <f>IF(A115&gt;0,VLOOKUP(A115,טבלאות!$J:$K,2,0),"")</f>
        <v/>
      </c>
      <c r="L115" s="50" t="str">
        <f>IF(ISERROR(VLOOKUP(B115,טבלאות!$G:$H,2,0)),"",VLOOKUP(B115,טבלאות!$G:$H,2,0))</f>
        <v/>
      </c>
    </row>
    <row r="116" spans="11:12" hidden="1">
      <c r="K116" t="str">
        <f>IF(A116&gt;0,VLOOKUP(A116,טבלאות!$J:$K,2,0),"")</f>
        <v/>
      </c>
      <c r="L116" s="50" t="str">
        <f>IF(ISERROR(VLOOKUP(B116,טבלאות!$G:$H,2,0)),"",VLOOKUP(B116,טבלאות!$G:$H,2,0))</f>
        <v/>
      </c>
    </row>
    <row r="117" spans="11:12" hidden="1">
      <c r="K117" t="str">
        <f>IF(A117&gt;0,VLOOKUP(A117,טבלאות!$J:$K,2,0),"")</f>
        <v/>
      </c>
      <c r="L117" s="50" t="str">
        <f>IF(ISERROR(VLOOKUP(B117,טבלאות!$G:$H,2,0)),"",VLOOKUP(B117,טבלאות!$G:$H,2,0))</f>
        <v/>
      </c>
    </row>
    <row r="118" spans="11:12" hidden="1">
      <c r="K118" t="str">
        <f>IF(A118&gt;0,VLOOKUP(A118,טבלאות!$J:$K,2,0),"")</f>
        <v/>
      </c>
      <c r="L118" s="50" t="str">
        <f>IF(ISERROR(VLOOKUP(B118,טבלאות!$G:$H,2,0)),"",VLOOKUP(B118,טבלאות!$G:$H,2,0))</f>
        <v/>
      </c>
    </row>
    <row r="119" spans="11:12" hidden="1">
      <c r="K119" t="str">
        <f>IF(A119&gt;0,VLOOKUP(A119,טבלאות!$J:$K,2,0),"")</f>
        <v/>
      </c>
      <c r="L119" s="50" t="str">
        <f>IF(ISERROR(VLOOKUP(B119,טבלאות!$G:$H,2,0)),"",VLOOKUP(B119,טבלאות!$G:$H,2,0))</f>
        <v/>
      </c>
    </row>
    <row r="120" spans="11:12" hidden="1">
      <c r="K120" t="str">
        <f>IF(A120&gt;0,VLOOKUP(A120,טבלאות!$J:$K,2,0),"")</f>
        <v/>
      </c>
      <c r="L120" s="50" t="str">
        <f>IF(ISERROR(VLOOKUP(B120,טבלאות!$G:$H,2,0)),"",VLOOKUP(B120,טבלאות!$G:$H,2,0))</f>
        <v/>
      </c>
    </row>
    <row r="121" spans="11:12" hidden="1">
      <c r="K121" t="str">
        <f>IF(A121&gt;0,VLOOKUP(A121,טבלאות!$J:$K,2,0),"")</f>
        <v/>
      </c>
      <c r="L121" s="50" t="str">
        <f>IF(ISERROR(VLOOKUP(B121,טבלאות!$G:$H,2,0)),"",VLOOKUP(B121,טבלאות!$G:$H,2,0))</f>
        <v/>
      </c>
    </row>
    <row r="122" spans="11:12" hidden="1">
      <c r="K122" t="str">
        <f>IF(A122&gt;0,VLOOKUP(A122,טבלאות!$J:$K,2,0),"")</f>
        <v/>
      </c>
      <c r="L122" s="50" t="str">
        <f>IF(ISERROR(VLOOKUP(B122,טבלאות!$G:$H,2,0)),"",VLOOKUP(B122,טבלאות!$G:$H,2,0))</f>
        <v/>
      </c>
    </row>
    <row r="123" spans="11:12" hidden="1">
      <c r="K123" t="str">
        <f>IF(A123&gt;0,VLOOKUP(A123,טבלאות!$J:$K,2,0),"")</f>
        <v/>
      </c>
      <c r="L123" s="50" t="str">
        <f>IF(ISERROR(VLOOKUP(B123,טבלאות!$G:$H,2,0)),"",VLOOKUP(B123,טבלאות!$G:$H,2,0))</f>
        <v/>
      </c>
    </row>
  </sheetData>
  <autoFilter ref="A1:N123" xr:uid="{00000000-0009-0000-0000-00000A000000}">
    <filterColumn colId="11">
      <filters>
        <filter val="?"/>
        <filter val="שונות"/>
        <filter val="שירותי בנקאות"/>
      </filters>
    </filterColumn>
  </autoFilter>
  <conditionalFormatting sqref="L2:L123">
    <cfRule type="cellIs" dxfId="5" priority="1" operator="equal">
      <formula>""</formula>
    </cfRule>
  </conditionalFormatting>
  <dataValidations count="2">
    <dataValidation type="list" allowBlank="1" showInputMessage="1" showErrorMessage="1" sqref="K2:K123" xr:uid="{321A8484-6091-4AF9-90B0-15AC3BB6A0CB}">
      <formula1>סוג_כרטיס</formula1>
    </dataValidation>
    <dataValidation type="list" allowBlank="1" showInputMessage="1" showErrorMessage="1" sqref="L2:L123" xr:uid="{143EAF14-1745-452F-92E1-6D3F1DC669E9}">
      <formula1>סוגי_הוצאות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G143"/>
  <sheetViews>
    <sheetView rightToLeft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44" sqref="L44:L56"/>
    </sheetView>
  </sheetViews>
  <sheetFormatPr defaultRowHeight="15"/>
  <cols>
    <col min="1" max="1" width="16.42578125" customWidth="1"/>
    <col min="2" max="2" width="25.7109375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1" max="11" width="12.140625" style="73" customWidth="1"/>
    <col min="12" max="12" width="17" style="73" bestFit="1" customWidth="1"/>
    <col min="13" max="13" width="9.140625" style="73"/>
    <col min="14" max="14" width="19.28515625" bestFit="1" customWidth="1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>
      <c r="B2" s="108"/>
      <c r="C2" s="111"/>
      <c r="D2" s="109"/>
      <c r="E2" s="108"/>
      <c r="F2" s="108"/>
      <c r="G2" s="108"/>
      <c r="H2" s="108"/>
      <c r="I2" s="109"/>
      <c r="J2" s="106"/>
      <c r="K2" t="str">
        <f>IF(A2&gt;0,VLOOKUP(A2,טבלאות!$J:$K,2,0),"")</f>
        <v/>
      </c>
      <c r="L2" s="50" t="str">
        <f>IF(ISERROR(VLOOKUP(B2,טבלאות!$G:$H,2,0)),"",VLOOKUP(B2,טבלאות!$G:$H,2,0))</f>
        <v/>
      </c>
      <c r="M2" s="51" t="str">
        <f t="shared" ref="M2:M65" si="0">IF(OR(L2="",L2="?"),"",IF(L2&gt;0,I2,""))</f>
        <v/>
      </c>
    </row>
    <row r="3" spans="1:111" s="36" customFormat="1" ht="19.5" customHeight="1">
      <c r="A3"/>
      <c r="B3" s="108"/>
      <c r="C3" s="111"/>
      <c r="D3" s="109"/>
      <c r="E3" s="108"/>
      <c r="F3" s="108"/>
      <c r="G3" s="108"/>
      <c r="H3" s="108"/>
      <c r="I3" s="109"/>
      <c r="J3" s="106"/>
      <c r="K3" t="str">
        <f>IF(A3&gt;0,VLOOKUP(A3,טבלאות!$J:$K,2,0),"")</f>
        <v/>
      </c>
      <c r="L3" s="50" t="str">
        <f>IF(ISERROR(VLOOKUP(B3,טבלאות!$G:$H,2,0)),"",VLOOKUP(B3,טבלאות!$G:$H,2,0))</f>
        <v/>
      </c>
      <c r="M3" s="51" t="str">
        <f t="shared" si="0"/>
        <v/>
      </c>
    </row>
    <row r="4" spans="1:111" ht="15" customHeight="1">
      <c r="B4" s="108"/>
      <c r="C4" s="111"/>
      <c r="D4" s="109"/>
      <c r="E4" s="108"/>
      <c r="F4" s="108"/>
      <c r="G4" s="108"/>
      <c r="H4" s="108"/>
      <c r="I4" s="109"/>
      <c r="J4" s="106"/>
      <c r="K4" t="str">
        <f>IF(A4&gt;0,VLOOKUP(A4,טבלאות!$J:$K,2,0),"")</f>
        <v/>
      </c>
      <c r="L4" s="50" t="str">
        <f>IF(ISERROR(VLOOKUP(B4,טבלאות!$G:$H,2,0)),"",VLOOKUP(B4,טבלאות!$G:$H,2,0))</f>
        <v/>
      </c>
      <c r="M4" s="51" t="str">
        <f t="shared" si="0"/>
        <v/>
      </c>
    </row>
    <row r="5" spans="1:111" ht="15" customHeight="1">
      <c r="B5" s="108"/>
      <c r="C5" s="111"/>
      <c r="D5" s="109"/>
      <c r="E5" s="108"/>
      <c r="F5" s="108"/>
      <c r="G5" s="108"/>
      <c r="H5" s="108"/>
      <c r="I5" s="109"/>
      <c r="J5" s="106"/>
      <c r="K5" t="str">
        <f>IF(A5&gt;0,VLOOKUP(A5,טבלאות!$J:$K,2,0),"")</f>
        <v/>
      </c>
      <c r="L5" s="50" t="str">
        <f>IF(ISERROR(VLOOKUP(B5,טבלאות!$G:$H,2,0)),"",VLOOKUP(B5,טבלאות!$G:$H,2,0))</f>
        <v/>
      </c>
      <c r="M5" s="51" t="str">
        <f t="shared" si="0"/>
        <v/>
      </c>
    </row>
    <row r="6" spans="1:111" ht="20.25" customHeight="1">
      <c r="B6" s="108"/>
      <c r="C6" s="111"/>
      <c r="D6" s="109"/>
      <c r="E6" s="108"/>
      <c r="F6" s="108"/>
      <c r="G6" s="108"/>
      <c r="H6" s="108"/>
      <c r="I6" s="109"/>
      <c r="J6" s="106"/>
      <c r="K6" t="str">
        <f>IF(A6&gt;0,VLOOKUP(A6,טבלאות!$J:$K,2,0),"")</f>
        <v/>
      </c>
      <c r="L6" s="50" t="str">
        <f>IF(ISERROR(VLOOKUP(B6,טבלאות!$G:$H,2,0)),"",VLOOKUP(B6,טבלאות!$G:$H,2,0))</f>
        <v/>
      </c>
      <c r="M6" s="51" t="str">
        <f t="shared" si="0"/>
        <v/>
      </c>
    </row>
    <row r="7" spans="1:111" ht="15.75" customHeight="1">
      <c r="B7" s="108"/>
      <c r="C7" s="111"/>
      <c r="D7" s="109"/>
      <c r="E7" s="108"/>
      <c r="F7" s="108"/>
      <c r="G7" s="108"/>
      <c r="H7" s="108"/>
      <c r="I7" s="109"/>
      <c r="J7" s="106"/>
      <c r="K7" t="str">
        <f>IF(A7&gt;0,VLOOKUP(A7,טבלאות!$J:$K,2,0),"")</f>
        <v/>
      </c>
      <c r="L7" s="50" t="str">
        <f>IF(ISERROR(VLOOKUP(B7,טבלאות!$G:$H,2,0)),"",VLOOKUP(B7,טבלאות!$G:$H,2,0))</f>
        <v/>
      </c>
      <c r="M7" s="51" t="str">
        <f t="shared" si="0"/>
        <v/>
      </c>
      <c r="N7" s="73"/>
    </row>
    <row r="8" spans="1:111" ht="15" customHeight="1">
      <c r="B8" s="108"/>
      <c r="C8" s="111"/>
      <c r="D8" s="109"/>
      <c r="E8" s="108"/>
      <c r="F8" s="108"/>
      <c r="G8" s="108"/>
      <c r="H8" s="108"/>
      <c r="I8" s="109"/>
      <c r="J8" s="106"/>
      <c r="K8" t="str">
        <f>IF(A8&gt;0,VLOOKUP(A8,טבלאות!$J:$K,2,0),"")</f>
        <v/>
      </c>
      <c r="L8" s="50" t="str">
        <f>IF(ISERROR(VLOOKUP(B8,טבלאות!$G:$H,2,0)),"",VLOOKUP(B8,טבלאות!$G:$H,2,0))</f>
        <v/>
      </c>
      <c r="M8" s="51" t="str">
        <f t="shared" si="0"/>
        <v/>
      </c>
      <c r="N8" s="73"/>
    </row>
    <row r="9" spans="1:111" ht="15" customHeight="1">
      <c r="B9" s="108"/>
      <c r="C9" s="111"/>
      <c r="D9" s="109"/>
      <c r="E9" s="108"/>
      <c r="F9" s="108"/>
      <c r="G9" s="108"/>
      <c r="H9" s="108"/>
      <c r="I9" s="109"/>
      <c r="J9" s="106"/>
      <c r="K9" t="str">
        <f>IF(A9&gt;0,VLOOKUP(A9,טבלאות!$J:$K,2,0),"")</f>
        <v/>
      </c>
      <c r="L9" s="50" t="str">
        <f>IF(ISERROR(VLOOKUP(B9,טבלאות!$G:$H,2,0)),"",VLOOKUP(B9,טבלאות!$G:$H,2,0))</f>
        <v/>
      </c>
      <c r="M9" s="51" t="str">
        <f t="shared" si="0"/>
        <v/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>
      <c r="B10" s="108"/>
      <c r="C10" s="111"/>
      <c r="D10" s="109"/>
      <c r="E10" s="108"/>
      <c r="F10" s="108"/>
      <c r="G10" s="108"/>
      <c r="H10" s="108"/>
      <c r="I10" s="109"/>
      <c r="J10" s="106"/>
      <c r="K10" t="str">
        <f>IF(A10&gt;0,VLOOKUP(A10,טבלאות!$J:$K,2,0),"")</f>
        <v/>
      </c>
      <c r="L10" s="50" t="str">
        <f>IF(ISERROR(VLOOKUP(B10,טבלאות!$G:$H,2,0)),"",VLOOKUP(B10,טבלאות!$G:$H,2,0))</f>
        <v/>
      </c>
      <c r="M10" s="51" t="str">
        <f t="shared" si="0"/>
        <v/>
      </c>
    </row>
    <row r="11" spans="1:111">
      <c r="B11" s="108"/>
      <c r="C11" s="111"/>
      <c r="D11" s="109"/>
      <c r="E11" s="108"/>
      <c r="F11" s="108"/>
      <c r="G11" s="108"/>
      <c r="H11" s="108"/>
      <c r="I11" s="109"/>
      <c r="J11" s="106"/>
      <c r="K11" t="str">
        <f>IF(A11&gt;0,VLOOKUP(A11,טבלאות!$J:$K,2,0),"")</f>
        <v/>
      </c>
      <c r="L11" s="50" t="str">
        <f>IF(ISERROR(VLOOKUP(B11,טבלאות!$G:$H,2,0)),"",VLOOKUP(B11,טבלאות!$G:$H,2,0))</f>
        <v/>
      </c>
      <c r="M11" s="51" t="str">
        <f t="shared" si="0"/>
        <v/>
      </c>
    </row>
    <row r="12" spans="1:111">
      <c r="B12" s="108"/>
      <c r="C12" s="111"/>
      <c r="D12" s="109"/>
      <c r="E12" s="108"/>
      <c r="F12" s="108"/>
      <c r="G12" s="108"/>
      <c r="H12" s="108"/>
      <c r="I12" s="109"/>
      <c r="J12" s="106"/>
      <c r="K12" t="str">
        <f>IF(A12&gt;0,VLOOKUP(A12,טבלאות!$J:$K,2,0),"")</f>
        <v/>
      </c>
      <c r="L12" s="50" t="str">
        <f>IF(ISERROR(VLOOKUP(B12,טבלאות!$G:$H,2,0)),"",VLOOKUP(B12,טבלאות!$G:$H,2,0))</f>
        <v/>
      </c>
      <c r="M12" s="51" t="str">
        <f t="shared" si="0"/>
        <v/>
      </c>
    </row>
    <row r="13" spans="1:111">
      <c r="B13" s="108"/>
      <c r="C13" s="111"/>
      <c r="D13" s="109"/>
      <c r="E13" s="108"/>
      <c r="F13" s="108"/>
      <c r="G13" s="108"/>
      <c r="H13" s="108"/>
      <c r="I13" s="109"/>
      <c r="J13" s="106"/>
      <c r="K13" t="str">
        <f>IF(A13&gt;0,VLOOKUP(A13,טבלאות!$J:$K,2,0),"")</f>
        <v/>
      </c>
      <c r="L13" s="50" t="str">
        <f>IF(ISERROR(VLOOKUP(B13,טבלאות!$G:$H,2,0)),"",VLOOKUP(B13,טבלאות!$G:$H,2,0))</f>
        <v/>
      </c>
      <c r="M13" s="51" t="str">
        <f t="shared" si="0"/>
        <v/>
      </c>
    </row>
    <row r="14" spans="1:111">
      <c r="B14" s="108"/>
      <c r="C14" s="111"/>
      <c r="D14" s="109"/>
      <c r="E14" s="108"/>
      <c r="F14" s="108"/>
      <c r="G14" s="108"/>
      <c r="H14" s="108"/>
      <c r="I14" s="109"/>
      <c r="J14" s="106"/>
      <c r="K14" t="str">
        <f>IF(A14&gt;0,VLOOKUP(A14,טבלאות!$J:$K,2,0),"")</f>
        <v/>
      </c>
      <c r="L14" s="50" t="str">
        <f>IF(ISERROR(VLOOKUP(B14,טבלאות!$G:$H,2,0)),"",VLOOKUP(B14,טבלאות!$G:$H,2,0))</f>
        <v/>
      </c>
      <c r="M14" s="51" t="str">
        <f t="shared" si="0"/>
        <v/>
      </c>
    </row>
    <row r="15" spans="1:111">
      <c r="B15" s="108"/>
      <c r="C15" s="111"/>
      <c r="D15" s="109"/>
      <c r="E15" s="108"/>
      <c r="F15" s="108"/>
      <c r="G15" s="108"/>
      <c r="H15" s="108"/>
      <c r="I15" s="109"/>
      <c r="J15" s="106"/>
      <c r="K15" t="str">
        <f>IF(A15&gt;0,VLOOKUP(A15,טבלאות!$J:$K,2,0),"")</f>
        <v/>
      </c>
      <c r="L15" s="50" t="str">
        <f>IF(ISERROR(VLOOKUP(B15,טבלאות!$G:$H,2,0)),"",VLOOKUP(B15,טבלאות!$G:$H,2,0))</f>
        <v/>
      </c>
      <c r="M15" s="51" t="str">
        <f t="shared" si="0"/>
        <v/>
      </c>
    </row>
    <row r="16" spans="1:111">
      <c r="B16" s="108"/>
      <c r="C16" s="111"/>
      <c r="D16" s="109"/>
      <c r="E16" s="108"/>
      <c r="F16" s="108"/>
      <c r="G16" s="108"/>
      <c r="H16" s="108"/>
      <c r="I16" s="109"/>
      <c r="J16" s="106"/>
      <c r="K16" t="str">
        <f>IF(A16&gt;0,VLOOKUP(A16,טבלאות!$J:$K,2,0),"")</f>
        <v/>
      </c>
      <c r="L16" s="50" t="str">
        <f>IF(ISERROR(VLOOKUP(B16,טבלאות!$G:$H,2,0)),"",VLOOKUP(B16,טבלאות!$G:$H,2,0))</f>
        <v/>
      </c>
      <c r="M16" s="51" t="str">
        <f t="shared" si="0"/>
        <v/>
      </c>
    </row>
    <row r="17" spans="1:13">
      <c r="A17" s="108"/>
      <c r="B17" s="108"/>
      <c r="C17" s="108"/>
      <c r="D17" s="109"/>
      <c r="E17" s="108"/>
      <c r="F17" s="108"/>
      <c r="G17" s="108"/>
      <c r="H17" s="108"/>
      <c r="I17" s="109"/>
      <c r="J17" s="106"/>
      <c r="K17" t="str">
        <f>IF(A17&gt;0,VLOOKUP(A17,טבלאות!$J:$K,2,0),"")</f>
        <v/>
      </c>
      <c r="L17" s="50" t="str">
        <f>IF(ISERROR(VLOOKUP(B17,טבלאות!$G:$H,2,0)),"",VLOOKUP(B17,טבלאות!$G:$H,2,0))</f>
        <v/>
      </c>
      <c r="M17" s="51" t="str">
        <f t="shared" si="0"/>
        <v/>
      </c>
    </row>
    <row r="18" spans="1:13">
      <c r="A18" s="108"/>
      <c r="B18" s="108"/>
      <c r="C18" s="108"/>
      <c r="D18" s="109"/>
      <c r="E18" s="108"/>
      <c r="F18" s="108"/>
      <c r="G18" s="108"/>
      <c r="H18" s="108"/>
      <c r="I18" s="109"/>
      <c r="J18" s="106"/>
      <c r="K18" t="str">
        <f>IF(A18&gt;0,VLOOKUP(A18,טבלאות!$J:$K,2,0),"")</f>
        <v/>
      </c>
      <c r="L18" s="50" t="str">
        <f>IF(ISERROR(VLOOKUP(B18,טבלאות!$G:$H,2,0)),"",VLOOKUP(B18,טבלאות!$G:$H,2,0))</f>
        <v/>
      </c>
      <c r="M18" s="51" t="str">
        <f t="shared" si="0"/>
        <v/>
      </c>
    </row>
    <row r="19" spans="1:13">
      <c r="A19" s="108"/>
      <c r="B19" s="108"/>
      <c r="C19" s="108"/>
      <c r="D19" s="109"/>
      <c r="E19" s="108"/>
      <c r="F19" s="108"/>
      <c r="G19" s="108"/>
      <c r="H19" s="108"/>
      <c r="I19" s="109"/>
      <c r="J19" s="106"/>
      <c r="K19" t="str">
        <f>IF(A19&gt;0,VLOOKUP(A19,טבלאות!$J:$K,2,0),"")</f>
        <v/>
      </c>
      <c r="L19" s="50" t="str">
        <f>IF(ISERROR(VLOOKUP(B19,טבלאות!$G:$H,2,0)),"",VLOOKUP(B19,טבלאות!$G:$H,2,0))</f>
        <v/>
      </c>
      <c r="M19" s="51" t="str">
        <f t="shared" si="0"/>
        <v/>
      </c>
    </row>
    <row r="20" spans="1:13">
      <c r="A20" s="108"/>
      <c r="B20" s="108"/>
      <c r="C20" s="108"/>
      <c r="D20" s="109"/>
      <c r="E20" s="108"/>
      <c r="F20" s="108"/>
      <c r="G20" s="108"/>
      <c r="H20" s="108"/>
      <c r="I20" s="109"/>
      <c r="J20" s="106"/>
      <c r="K20" t="str">
        <f>IF(A20&gt;0,VLOOKUP(A20,טבלאות!$J:$K,2,0),"")</f>
        <v/>
      </c>
      <c r="L20" s="50" t="str">
        <f>IF(ISERROR(VLOOKUP(B20,טבלאות!$G:$H,2,0)),"",VLOOKUP(B20,טבלאות!$G:$H,2,0))</f>
        <v/>
      </c>
      <c r="M20" s="51" t="str">
        <f t="shared" si="0"/>
        <v/>
      </c>
    </row>
    <row r="21" spans="1:13">
      <c r="A21" s="108"/>
      <c r="B21" s="108"/>
      <c r="C21" s="108"/>
      <c r="D21" s="109"/>
      <c r="E21" s="108"/>
      <c r="F21" s="108"/>
      <c r="G21" s="108"/>
      <c r="H21" s="108"/>
      <c r="I21" s="109"/>
      <c r="J21" s="106"/>
      <c r="K21" t="str">
        <f>IF(A21&gt;0,VLOOKUP(A21,טבלאות!$J:$K,2,0),"")</f>
        <v/>
      </c>
      <c r="L21" s="50" t="str">
        <f>IF(ISERROR(VLOOKUP(B21,טבלאות!$G:$H,2,0)),"",VLOOKUP(B21,טבלאות!$G:$H,2,0))</f>
        <v/>
      </c>
      <c r="M21" s="51" t="str">
        <f t="shared" si="0"/>
        <v/>
      </c>
    </row>
    <row r="22" spans="1:13">
      <c r="A22" s="108"/>
      <c r="B22" s="108"/>
      <c r="C22" s="108"/>
      <c r="D22" s="109"/>
      <c r="E22" s="108"/>
      <c r="F22" s="108"/>
      <c r="G22" s="108"/>
      <c r="H22" s="108"/>
      <c r="I22" s="109"/>
      <c r="J22" s="106"/>
      <c r="K22" t="str">
        <f>IF(A22&gt;0,VLOOKUP(A22,טבלאות!$J:$K,2,0),"")</f>
        <v/>
      </c>
      <c r="L22" s="50" t="str">
        <f>IF(ISERROR(VLOOKUP(B22,טבלאות!$G:$H,2,0)),"",VLOOKUP(B22,טבלאות!$G:$H,2,0))</f>
        <v/>
      </c>
      <c r="M22" s="51" t="str">
        <f t="shared" si="0"/>
        <v/>
      </c>
    </row>
    <row r="23" spans="1:13">
      <c r="A23" s="108"/>
      <c r="B23" s="108"/>
      <c r="C23" s="108"/>
      <c r="D23" s="109"/>
      <c r="E23" s="108"/>
      <c r="F23" s="108"/>
      <c r="G23" s="108"/>
      <c r="H23" s="108"/>
      <c r="I23" s="109"/>
      <c r="J23" s="106"/>
      <c r="K23" t="str">
        <f>IF(A23&gt;0,VLOOKUP(A23,טבלאות!$J:$K,2,0),"")</f>
        <v/>
      </c>
      <c r="L23" s="50" t="str">
        <f>IF(ISERROR(VLOOKUP(B23,טבלאות!$G:$H,2,0)),"",VLOOKUP(B23,טבלאות!$G:$H,2,0))</f>
        <v/>
      </c>
      <c r="M23" s="51" t="str">
        <f t="shared" si="0"/>
        <v/>
      </c>
    </row>
    <row r="24" spans="1:13">
      <c r="A24" s="108"/>
      <c r="B24" s="108"/>
      <c r="C24" s="108"/>
      <c r="D24" s="109"/>
      <c r="E24" s="108"/>
      <c r="F24" s="108"/>
      <c r="G24" s="108"/>
      <c r="H24" s="108"/>
      <c r="I24" s="109"/>
      <c r="J24" s="106"/>
      <c r="K24" t="str">
        <f>IF(A24&gt;0,VLOOKUP(A24,טבלאות!$J:$K,2,0),"")</f>
        <v/>
      </c>
      <c r="L24" s="50" t="str">
        <f>IF(ISERROR(VLOOKUP(B24,טבלאות!$G:$H,2,0)),"",VLOOKUP(B24,טבלאות!$G:$H,2,0))</f>
        <v/>
      </c>
      <c r="M24" s="51" t="str">
        <f t="shared" si="0"/>
        <v/>
      </c>
    </row>
    <row r="25" spans="1:13">
      <c r="A25" s="108"/>
      <c r="B25" s="108"/>
      <c r="C25" s="108"/>
      <c r="D25" s="109"/>
      <c r="E25" s="108"/>
      <c r="F25" s="108"/>
      <c r="G25" s="108"/>
      <c r="H25" s="108"/>
      <c r="I25" s="109"/>
      <c r="J25" s="106"/>
      <c r="K25" t="str">
        <f>IF(A25&gt;0,VLOOKUP(A25,טבלאות!$J:$K,2,0),"")</f>
        <v/>
      </c>
      <c r="L25" s="50" t="str">
        <f>IF(ISERROR(VLOOKUP(B25,טבלאות!$G:$H,2,0)),"",VLOOKUP(B25,טבלאות!$G:$H,2,0))</f>
        <v/>
      </c>
      <c r="M25" s="51" t="str">
        <f t="shared" si="0"/>
        <v/>
      </c>
    </row>
    <row r="26" spans="1:13">
      <c r="A26" s="108"/>
      <c r="B26" s="108"/>
      <c r="C26" s="108"/>
      <c r="D26" s="109"/>
      <c r="E26" s="108"/>
      <c r="F26" s="108"/>
      <c r="G26" s="108"/>
      <c r="H26" s="108"/>
      <c r="I26" s="109"/>
      <c r="J26" s="106"/>
      <c r="K26" t="str">
        <f>IF(A26&gt;0,VLOOKUP(A26,טבלאות!$J:$K,2,0),"")</f>
        <v/>
      </c>
      <c r="L26" s="50" t="str">
        <f>IF(ISERROR(VLOOKUP(B26,טבלאות!$G:$H,2,0)),"",VLOOKUP(B26,טבלאות!$G:$H,2,0))</f>
        <v/>
      </c>
      <c r="M26" s="51" t="str">
        <f t="shared" si="0"/>
        <v/>
      </c>
    </row>
    <row r="27" spans="1:13">
      <c r="A27" s="108"/>
      <c r="B27" s="108"/>
      <c r="C27" s="108"/>
      <c r="D27" s="109"/>
      <c r="E27" s="108"/>
      <c r="F27" s="108"/>
      <c r="G27" s="108"/>
      <c r="H27" s="108"/>
      <c r="I27" s="109"/>
      <c r="J27" s="106"/>
      <c r="K27" t="str">
        <f>IF(A27&gt;0,VLOOKUP(A27,טבלאות!$J:$K,2,0),"")</f>
        <v/>
      </c>
      <c r="L27" s="50" t="str">
        <f>IF(ISERROR(VLOOKUP(B27,טבלאות!$G:$H,2,0)),"",VLOOKUP(B27,טבלאות!$G:$H,2,0))</f>
        <v/>
      </c>
      <c r="M27" s="51" t="str">
        <f t="shared" si="0"/>
        <v/>
      </c>
    </row>
    <row r="28" spans="1:13">
      <c r="A28" s="108"/>
      <c r="B28" s="108"/>
      <c r="C28" s="108"/>
      <c r="D28" s="109"/>
      <c r="E28" s="108"/>
      <c r="F28" s="108"/>
      <c r="G28" s="108"/>
      <c r="H28" s="108"/>
      <c r="I28" s="109"/>
      <c r="J28" s="106"/>
      <c r="K28" t="str">
        <f>IF(A28&gt;0,VLOOKUP(A28,טבלאות!$J:$K,2,0),"")</f>
        <v/>
      </c>
      <c r="L28" s="50" t="str">
        <f>IF(ISERROR(VLOOKUP(B28,טבלאות!$G:$H,2,0)),"",VLOOKUP(B28,טבלאות!$G:$H,2,0))</f>
        <v/>
      </c>
      <c r="M28" s="51" t="str">
        <f t="shared" si="0"/>
        <v/>
      </c>
    </row>
    <row r="29" spans="1:13">
      <c r="A29" s="108"/>
      <c r="B29" s="108"/>
      <c r="C29" s="108"/>
      <c r="D29" s="109"/>
      <c r="E29" s="108"/>
      <c r="F29" s="108"/>
      <c r="G29" s="108"/>
      <c r="H29" s="108"/>
      <c r="I29" s="109"/>
      <c r="J29" s="106"/>
      <c r="K29" t="str">
        <f>IF(A29&gt;0,VLOOKUP(A29,טבלאות!$J:$K,2,0),"")</f>
        <v/>
      </c>
      <c r="L29" s="50" t="str">
        <f>IF(ISERROR(VLOOKUP(B29,טבלאות!$G:$H,2,0)),"",VLOOKUP(B29,טבלאות!$G:$H,2,0))</f>
        <v/>
      </c>
      <c r="M29" s="51" t="str">
        <f t="shared" si="0"/>
        <v/>
      </c>
    </row>
    <row r="30" spans="1:13">
      <c r="A30" s="108"/>
      <c r="B30" s="108"/>
      <c r="C30" s="108"/>
      <c r="D30" s="109"/>
      <c r="E30" s="108"/>
      <c r="F30" s="108"/>
      <c r="G30" s="108"/>
      <c r="H30" s="108"/>
      <c r="I30" s="109"/>
      <c r="J30" s="106"/>
      <c r="K30" t="str">
        <f>IF(A30&gt;0,VLOOKUP(A30,טבלאות!$J:$K,2,0),"")</f>
        <v/>
      </c>
      <c r="L30" s="50" t="str">
        <f>IF(ISERROR(VLOOKUP(B30,טבלאות!$G:$H,2,0)),"",VLOOKUP(B30,טבלאות!$G:$H,2,0))</f>
        <v/>
      </c>
      <c r="M30" s="51" t="str">
        <f t="shared" si="0"/>
        <v/>
      </c>
    </row>
    <row r="31" spans="1:13">
      <c r="A31" s="108"/>
      <c r="B31" s="108"/>
      <c r="C31" s="108"/>
      <c r="D31" s="109"/>
      <c r="E31" s="108"/>
      <c r="F31" s="108"/>
      <c r="G31" s="108"/>
      <c r="H31" s="108"/>
      <c r="I31" s="109"/>
      <c r="J31" s="106"/>
      <c r="K31" t="str">
        <f>IF(A31&gt;0,VLOOKUP(A31,טבלאות!$J:$K,2,0),"")</f>
        <v/>
      </c>
      <c r="L31" s="50" t="str">
        <f>IF(ISERROR(VLOOKUP(B31,טבלאות!$G:$H,2,0)),"",VLOOKUP(B31,טבלאות!$G:$H,2,0))</f>
        <v/>
      </c>
      <c r="M31" s="51" t="str">
        <f t="shared" si="0"/>
        <v/>
      </c>
    </row>
    <row r="32" spans="1:13">
      <c r="A32" s="108"/>
      <c r="B32" s="108"/>
      <c r="C32" s="108"/>
      <c r="D32" s="109"/>
      <c r="E32" s="108"/>
      <c r="F32" s="108"/>
      <c r="G32" s="108"/>
      <c r="H32" s="108"/>
      <c r="I32" s="109"/>
      <c r="J32" s="106"/>
      <c r="K32" t="str">
        <f>IF(A32&gt;0,VLOOKUP(A32,טבלאות!$J:$K,2,0),"")</f>
        <v/>
      </c>
      <c r="L32" s="50" t="str">
        <f>IF(ISERROR(VLOOKUP(B32,טבלאות!$G:$H,2,0)),"",VLOOKUP(B32,טבלאות!$G:$H,2,0))</f>
        <v/>
      </c>
      <c r="M32" s="51" t="str">
        <f t="shared" si="0"/>
        <v/>
      </c>
    </row>
    <row r="33" spans="1:13">
      <c r="A33" s="108"/>
      <c r="B33" s="108"/>
      <c r="C33" s="108"/>
      <c r="D33" s="109"/>
      <c r="E33" s="108"/>
      <c r="F33" s="108"/>
      <c r="G33" s="108"/>
      <c r="H33" s="108"/>
      <c r="I33" s="109"/>
      <c r="J33" s="106"/>
      <c r="K33" t="str">
        <f>IF(A33&gt;0,VLOOKUP(A33,טבלאות!$J:$K,2,0),"")</f>
        <v/>
      </c>
      <c r="L33" s="50" t="str">
        <f>IF(ISERROR(VLOOKUP(B33,טבלאות!$G:$H,2,0)),"",VLOOKUP(B33,טבלאות!$G:$H,2,0))</f>
        <v/>
      </c>
      <c r="M33" s="51" t="str">
        <f t="shared" si="0"/>
        <v/>
      </c>
    </row>
    <row r="34" spans="1:13">
      <c r="A34" s="108"/>
      <c r="B34" s="108"/>
      <c r="C34" s="108"/>
      <c r="D34" s="109"/>
      <c r="E34" s="108"/>
      <c r="F34" s="108"/>
      <c r="G34" s="108"/>
      <c r="H34" s="108"/>
      <c r="I34" s="109"/>
      <c r="J34" s="106"/>
      <c r="K34" t="str">
        <f>IF(A34&gt;0,VLOOKUP(A34,טבלאות!$J:$K,2,0),"")</f>
        <v/>
      </c>
      <c r="L34" s="50" t="str">
        <f>IF(ISERROR(VLOOKUP(B34,טבלאות!$G:$H,2,0)),"",VLOOKUP(B34,טבלאות!$G:$H,2,0))</f>
        <v/>
      </c>
      <c r="M34" s="51" t="str">
        <f t="shared" si="0"/>
        <v/>
      </c>
    </row>
    <row r="35" spans="1:13">
      <c r="A35" s="108"/>
      <c r="B35" s="108"/>
      <c r="C35" s="108"/>
      <c r="D35" s="109"/>
      <c r="E35" s="108"/>
      <c r="F35" s="108"/>
      <c r="G35" s="108"/>
      <c r="H35" s="108"/>
      <c r="I35" s="109"/>
      <c r="J35" s="106"/>
      <c r="K35" t="str">
        <f>IF(A35&gt;0,VLOOKUP(A35,טבלאות!$J:$K,2,0),"")</f>
        <v/>
      </c>
      <c r="L35" s="50" t="str">
        <f>IF(ISERROR(VLOOKUP(B35,טבלאות!$G:$H,2,0)),"",VLOOKUP(B35,טבלאות!$G:$H,2,0))</f>
        <v/>
      </c>
      <c r="M35" s="51" t="str">
        <f t="shared" si="0"/>
        <v/>
      </c>
    </row>
    <row r="36" spans="1:13">
      <c r="A36" s="108"/>
      <c r="B36" s="108"/>
      <c r="C36" s="108"/>
      <c r="D36" s="109"/>
      <c r="E36" s="108"/>
      <c r="F36" s="108"/>
      <c r="G36" s="108"/>
      <c r="H36" s="108"/>
      <c r="I36" s="109"/>
      <c r="J36" s="106"/>
      <c r="K36" t="str">
        <f>IF(A36&gt;0,VLOOKUP(A36,טבלאות!$J:$K,2,0),"")</f>
        <v/>
      </c>
      <c r="L36" s="50" t="str">
        <f>IF(ISERROR(VLOOKUP(B36,טבלאות!$G:$H,2,0)),"",VLOOKUP(B36,טבלאות!$G:$H,2,0))</f>
        <v/>
      </c>
      <c r="M36" s="51" t="str">
        <f t="shared" si="0"/>
        <v/>
      </c>
    </row>
    <row r="37" spans="1:13">
      <c r="A37" s="108"/>
      <c r="B37" s="108"/>
      <c r="C37" s="108"/>
      <c r="D37" s="109"/>
      <c r="E37" s="108"/>
      <c r="F37" s="108"/>
      <c r="G37" s="108"/>
      <c r="H37" s="108"/>
      <c r="I37" s="109"/>
      <c r="J37" s="106"/>
      <c r="K37" t="str">
        <f>IF(A37&gt;0,VLOOKUP(A37,טבלאות!$J:$K,2,0),"")</f>
        <v/>
      </c>
      <c r="L37" s="50" t="str">
        <f>IF(ISERROR(VLOOKUP(B37,טבלאות!$G:$H,2,0)),"",VLOOKUP(B37,טבלאות!$G:$H,2,0))</f>
        <v/>
      </c>
      <c r="M37" s="51" t="str">
        <f t="shared" si="0"/>
        <v/>
      </c>
    </row>
    <row r="38" spans="1:13">
      <c r="A38" s="108"/>
      <c r="B38" s="108"/>
      <c r="C38" s="108"/>
      <c r="D38" s="109"/>
      <c r="E38" s="108"/>
      <c r="F38" s="108"/>
      <c r="G38" s="108"/>
      <c r="H38" s="108"/>
      <c r="I38" s="109"/>
      <c r="J38" s="106"/>
      <c r="K38" t="str">
        <f>IF(A38&gt;0,VLOOKUP(A38,טבלאות!$J:$K,2,0),"")</f>
        <v/>
      </c>
      <c r="L38" s="50" t="str">
        <f>IF(ISERROR(VLOOKUP(B38,טבלאות!$G:$H,2,0)),"",VLOOKUP(B38,טבלאות!$G:$H,2,0))</f>
        <v/>
      </c>
      <c r="M38" s="51" t="str">
        <f t="shared" si="0"/>
        <v/>
      </c>
    </row>
    <row r="39" spans="1:13">
      <c r="A39" s="108"/>
      <c r="B39" s="108"/>
      <c r="C39" s="108"/>
      <c r="D39" s="109"/>
      <c r="E39" s="108"/>
      <c r="F39" s="108"/>
      <c r="G39" s="108"/>
      <c r="H39" s="108"/>
      <c r="I39" s="109"/>
      <c r="J39" s="106"/>
      <c r="K39" t="str">
        <f>IF(A39&gt;0,VLOOKUP(A39,טבלאות!$J:$K,2,0),"")</f>
        <v/>
      </c>
      <c r="L39" s="50" t="str">
        <f>IF(ISERROR(VLOOKUP(B39,טבלאות!$G:$H,2,0)),"",VLOOKUP(B39,טבלאות!$G:$H,2,0))</f>
        <v/>
      </c>
      <c r="M39" s="51" t="str">
        <f t="shared" si="0"/>
        <v/>
      </c>
    </row>
    <row r="40" spans="1:13">
      <c r="A40" s="108"/>
      <c r="B40" s="108"/>
      <c r="C40" s="108"/>
      <c r="D40" s="109"/>
      <c r="E40" s="108"/>
      <c r="F40" s="108"/>
      <c r="G40" s="108"/>
      <c r="H40" s="108"/>
      <c r="I40" s="109"/>
      <c r="J40" s="106"/>
      <c r="K40" t="str">
        <f>IF(A40&gt;0,VLOOKUP(A40,טבלאות!$J:$K,2,0),"")</f>
        <v/>
      </c>
      <c r="L40" s="50" t="str">
        <f>IF(ISERROR(VLOOKUP(B40,טבלאות!$G:$H,2,0)),"",VLOOKUP(B40,טבלאות!$G:$H,2,0))</f>
        <v/>
      </c>
      <c r="M40" s="51" t="str">
        <f t="shared" si="0"/>
        <v/>
      </c>
    </row>
    <row r="41" spans="1:13">
      <c r="A41" s="108"/>
      <c r="B41" s="108"/>
      <c r="C41" s="108"/>
      <c r="D41" s="109"/>
      <c r="E41" s="108"/>
      <c r="F41" s="108"/>
      <c r="G41" s="108"/>
      <c r="H41" s="108"/>
      <c r="I41" s="109"/>
      <c r="J41" s="106"/>
      <c r="K41" t="str">
        <f>IF(A41&gt;0,VLOOKUP(A41,טבלאות!$J:$K,2,0),"")</f>
        <v/>
      </c>
      <c r="L41" s="50" t="str">
        <f>IF(ISERROR(VLOOKUP(B41,טבלאות!$G:$H,2,0)),"",VLOOKUP(B41,טבלאות!$G:$H,2,0))</f>
        <v/>
      </c>
      <c r="M41" s="51" t="str">
        <f t="shared" si="0"/>
        <v/>
      </c>
    </row>
    <row r="42" spans="1:13">
      <c r="A42" s="108"/>
      <c r="B42" s="108"/>
      <c r="C42" s="108"/>
      <c r="D42" s="109"/>
      <c r="E42" s="108"/>
      <c r="F42" s="108"/>
      <c r="G42" s="108"/>
      <c r="H42" s="108"/>
      <c r="I42" s="109"/>
      <c r="J42" s="106"/>
      <c r="K42" t="str">
        <f>IF(A42&gt;0,VLOOKUP(A42,טבלאות!$J:$K,2,0),"")</f>
        <v/>
      </c>
      <c r="L42" s="50" t="str">
        <f>IF(ISERROR(VLOOKUP(B42,טבלאות!$G:$H,2,0)),"",VLOOKUP(B42,טבלאות!$G:$H,2,0))</f>
        <v/>
      </c>
      <c r="M42" s="51" t="str">
        <f t="shared" si="0"/>
        <v/>
      </c>
    </row>
    <row r="43" spans="1:13">
      <c r="A43" s="108"/>
      <c r="B43" s="108"/>
      <c r="C43" s="108"/>
      <c r="D43" s="109"/>
      <c r="E43" s="108"/>
      <c r="F43" s="108"/>
      <c r="G43" s="108"/>
      <c r="H43" s="108"/>
      <c r="I43" s="109"/>
      <c r="J43" s="106"/>
      <c r="K43" t="str">
        <f>IF(A43&gt;0,VLOOKUP(A43,טבלאות!$J:$K,2,0),"")</f>
        <v/>
      </c>
      <c r="L43" s="50" t="str">
        <f>IF(ISERROR(VLOOKUP(B43,טבלאות!$G:$H,2,0)),"",VLOOKUP(B43,טבלאות!$G:$H,2,0))</f>
        <v/>
      </c>
      <c r="M43" s="51" t="str">
        <f t="shared" si="0"/>
        <v/>
      </c>
    </row>
    <row r="44" spans="1:13">
      <c r="A44" s="108"/>
      <c r="B44" s="108"/>
      <c r="C44" s="108"/>
      <c r="D44" s="109"/>
      <c r="E44" s="108"/>
      <c r="F44" s="108"/>
      <c r="G44" s="108"/>
      <c r="H44" s="108"/>
      <c r="I44" s="109"/>
      <c r="J44" s="106"/>
      <c r="K44" t="str">
        <f>IF(A44&gt;0,VLOOKUP(A44,טבלאות!$J:$K,2,0),"")</f>
        <v/>
      </c>
      <c r="L44" s="50" t="str">
        <f>IF(ISERROR(VLOOKUP(B44,טבלאות!$G:$H,2,0)),"",VLOOKUP(B44,טבלאות!$G:$H,2,0))</f>
        <v/>
      </c>
      <c r="M44" s="51" t="str">
        <f t="shared" si="0"/>
        <v/>
      </c>
    </row>
    <row r="45" spans="1:13">
      <c r="A45" s="108"/>
      <c r="B45" s="108"/>
      <c r="C45" s="108"/>
      <c r="D45" s="109"/>
      <c r="E45" s="108"/>
      <c r="F45" s="108"/>
      <c r="G45" s="108"/>
      <c r="H45" s="108"/>
      <c r="I45" s="109"/>
      <c r="J45" s="106"/>
      <c r="K45" t="str">
        <f>IF(A45&gt;0,VLOOKUP(A45,טבלאות!$J:$K,2,0),"")</f>
        <v/>
      </c>
      <c r="L45" s="50" t="str">
        <f>IF(ISERROR(VLOOKUP(B45,טבלאות!$G:$H,2,0)),"",VLOOKUP(B45,טבלאות!$G:$H,2,0))</f>
        <v/>
      </c>
      <c r="M45" s="51" t="str">
        <f t="shared" si="0"/>
        <v/>
      </c>
    </row>
    <row r="46" spans="1:13">
      <c r="A46" s="108"/>
      <c r="B46" s="108"/>
      <c r="C46" s="108"/>
      <c r="D46" s="109"/>
      <c r="E46" s="108"/>
      <c r="F46" s="108"/>
      <c r="G46" s="108"/>
      <c r="H46" s="108"/>
      <c r="I46" s="109"/>
      <c r="J46" s="105"/>
      <c r="K46" t="str">
        <f>IF(A46&gt;0,VLOOKUP(A46,טבלאות!$J:$K,2,0),"")</f>
        <v/>
      </c>
      <c r="L46" s="50" t="str">
        <f>IF(ISERROR(VLOOKUP(B46,טבלאות!$G:$H,2,0)),"",VLOOKUP(B46,טבלאות!$G:$H,2,0))</f>
        <v/>
      </c>
      <c r="M46" s="51" t="str">
        <f t="shared" si="0"/>
        <v/>
      </c>
    </row>
    <row r="47" spans="1:13">
      <c r="A47" s="108"/>
      <c r="B47" s="108"/>
      <c r="C47" s="108"/>
      <c r="D47" s="109"/>
      <c r="E47" s="108"/>
      <c r="F47" s="108"/>
      <c r="G47" s="108"/>
      <c r="H47" s="108"/>
      <c r="I47" s="109"/>
      <c r="J47" s="106"/>
      <c r="K47" t="str">
        <f>IF(A47&gt;0,VLOOKUP(A47,טבלאות!$J:$K,2,0),"")</f>
        <v/>
      </c>
      <c r="L47" s="50" t="str">
        <f>IF(ISERROR(VLOOKUP(B47,טבלאות!$G:$H,2,0)),"",VLOOKUP(B47,טבלאות!$G:$H,2,0))</f>
        <v/>
      </c>
      <c r="M47" s="51" t="str">
        <f t="shared" si="0"/>
        <v/>
      </c>
    </row>
    <row r="48" spans="1:13">
      <c r="A48" s="108"/>
      <c r="B48" s="108"/>
      <c r="C48" s="108"/>
      <c r="D48" s="109"/>
      <c r="E48" s="108"/>
      <c r="F48" s="108"/>
      <c r="G48" s="108"/>
      <c r="H48" s="108"/>
      <c r="I48" s="109"/>
      <c r="J48" s="106"/>
      <c r="K48" t="str">
        <f>IF(A48&gt;0,VLOOKUP(A48,טבלאות!$J:$K,2,0),"")</f>
        <v/>
      </c>
      <c r="L48" s="50" t="str">
        <f>IF(ISERROR(VLOOKUP(B48,טבלאות!$G:$H,2,0)),"",VLOOKUP(B48,טבלאות!$G:$H,2,0))</f>
        <v/>
      </c>
      <c r="M48" s="51" t="str">
        <f t="shared" si="0"/>
        <v/>
      </c>
    </row>
    <row r="49" spans="1:13">
      <c r="A49" s="108"/>
      <c r="B49" s="108"/>
      <c r="C49" s="108"/>
      <c r="D49" s="109"/>
      <c r="E49" s="108"/>
      <c r="F49" s="108"/>
      <c r="G49" s="108"/>
      <c r="H49" s="108"/>
      <c r="I49" s="109"/>
      <c r="J49" s="106"/>
      <c r="K49" t="str">
        <f>IF(A49&gt;0,VLOOKUP(A49,טבלאות!$J:$K,2,0),"")</f>
        <v/>
      </c>
      <c r="L49" s="50" t="str">
        <f>IF(ISERROR(VLOOKUP(B49,טבלאות!$G:$H,2,0)),"",VLOOKUP(B49,טבלאות!$G:$H,2,0))</f>
        <v/>
      </c>
      <c r="M49" s="51" t="str">
        <f t="shared" si="0"/>
        <v/>
      </c>
    </row>
    <row r="50" spans="1:13">
      <c r="A50" s="108"/>
      <c r="B50" s="108"/>
      <c r="C50" s="108"/>
      <c r="D50" s="109"/>
      <c r="E50" s="108"/>
      <c r="F50" s="108"/>
      <c r="G50" s="108"/>
      <c r="H50" s="108"/>
      <c r="I50" s="109"/>
      <c r="J50" s="106"/>
      <c r="K50" t="str">
        <f>IF(A50&gt;0,VLOOKUP(A50,טבלאות!$J:$K,2,0),"")</f>
        <v/>
      </c>
      <c r="L50" s="50" t="str">
        <f>IF(ISERROR(VLOOKUP(B50,טבלאות!$G:$H,2,0)),"",VLOOKUP(B50,טבלאות!$G:$H,2,0))</f>
        <v/>
      </c>
      <c r="M50" s="51" t="str">
        <f t="shared" si="0"/>
        <v/>
      </c>
    </row>
    <row r="51" spans="1:13">
      <c r="A51" s="108"/>
      <c r="B51" s="108"/>
      <c r="C51" s="108"/>
      <c r="D51" s="109"/>
      <c r="E51" s="108"/>
      <c r="F51" s="108"/>
      <c r="G51" s="108"/>
      <c r="H51" s="108"/>
      <c r="I51" s="109"/>
      <c r="J51" s="106"/>
      <c r="K51" t="str">
        <f>IF(A51&gt;0,VLOOKUP(A51,טבלאות!$J:$K,2,0),"")</f>
        <v/>
      </c>
      <c r="L51" s="50" t="str">
        <f>IF(ISERROR(VLOOKUP(B51,טבלאות!$G:$H,2,0)),"",VLOOKUP(B51,טבלאות!$G:$H,2,0))</f>
        <v/>
      </c>
      <c r="M51" s="51" t="str">
        <f t="shared" si="0"/>
        <v/>
      </c>
    </row>
    <row r="52" spans="1:13">
      <c r="A52" s="108"/>
      <c r="B52" s="108"/>
      <c r="C52" s="108"/>
      <c r="D52" s="109"/>
      <c r="E52" s="108"/>
      <c r="F52" s="108"/>
      <c r="G52" s="108"/>
      <c r="H52" s="108"/>
      <c r="I52" s="109"/>
      <c r="J52" s="106"/>
      <c r="K52" t="str">
        <f>IF(A52&gt;0,VLOOKUP(A52,טבלאות!$J:$K,2,0),"")</f>
        <v/>
      </c>
      <c r="L52" s="50" t="str">
        <f>IF(ISERROR(VLOOKUP(B52,טבלאות!$G:$H,2,0)),"",VLOOKUP(B52,טבלאות!$G:$H,2,0))</f>
        <v/>
      </c>
      <c r="M52" s="51" t="str">
        <f t="shared" si="0"/>
        <v/>
      </c>
    </row>
    <row r="53" spans="1:13">
      <c r="A53" s="108"/>
      <c r="B53" s="108"/>
      <c r="C53" s="108"/>
      <c r="D53" s="109"/>
      <c r="E53" s="108"/>
      <c r="F53" s="108"/>
      <c r="G53" s="108"/>
      <c r="H53" s="108"/>
      <c r="I53" s="109"/>
      <c r="J53" s="106"/>
      <c r="K53" t="str">
        <f>IF(A53&gt;0,VLOOKUP(A53,טבלאות!$J:$K,2,0),"")</f>
        <v/>
      </c>
      <c r="L53" s="50" t="str">
        <f>IF(ISERROR(VLOOKUP(B53,טבלאות!$G:$H,2,0)),"",VLOOKUP(B53,טבלאות!$G:$H,2,0))</f>
        <v/>
      </c>
      <c r="M53" s="51" t="str">
        <f t="shared" si="0"/>
        <v/>
      </c>
    </row>
    <row r="54" spans="1:13">
      <c r="A54" s="108"/>
      <c r="B54" s="108"/>
      <c r="C54" s="108"/>
      <c r="D54" s="109"/>
      <c r="E54" s="108"/>
      <c r="F54" s="108"/>
      <c r="G54" s="108"/>
      <c r="H54" s="108"/>
      <c r="I54" s="109"/>
      <c r="J54" s="106"/>
      <c r="K54" t="str">
        <f>IF(A54&gt;0,VLOOKUP(A54,טבלאות!$J:$K,2,0),"")</f>
        <v/>
      </c>
      <c r="L54" s="50" t="str">
        <f>IF(ISERROR(VLOOKUP(B54,טבלאות!$G:$H,2,0)),"",VLOOKUP(B54,טבלאות!$G:$H,2,0))</f>
        <v/>
      </c>
      <c r="M54" s="51" t="str">
        <f t="shared" si="0"/>
        <v/>
      </c>
    </row>
    <row r="55" spans="1:13">
      <c r="A55" s="108"/>
      <c r="B55" s="108"/>
      <c r="C55" s="108"/>
      <c r="D55" s="109"/>
      <c r="E55" s="108"/>
      <c r="F55" s="108"/>
      <c r="G55" s="108"/>
      <c r="H55" s="108"/>
      <c r="I55" s="109"/>
      <c r="J55" s="106"/>
      <c r="K55" t="str">
        <f>IF(A55&gt;0,VLOOKUP(A55,טבלאות!$J:$K,2,0),"")</f>
        <v/>
      </c>
      <c r="L55" s="50" t="str">
        <f>IF(ISERROR(VLOOKUP(B55,טבלאות!$G:$H,2,0)),"",VLOOKUP(B55,טבלאות!$G:$H,2,0))</f>
        <v/>
      </c>
      <c r="M55" s="51" t="str">
        <f t="shared" si="0"/>
        <v/>
      </c>
    </row>
    <row r="56" spans="1:13">
      <c r="A56" s="108"/>
      <c r="B56" s="108"/>
      <c r="C56" s="108"/>
      <c r="D56" s="109"/>
      <c r="E56" s="108"/>
      <c r="F56" s="108"/>
      <c r="G56" s="108"/>
      <c r="H56" s="108"/>
      <c r="I56" s="109"/>
      <c r="J56" s="106"/>
      <c r="K56" t="str">
        <f>IF(A56&gt;0,VLOOKUP(A56,טבלאות!$J:$K,2,0),"")</f>
        <v/>
      </c>
      <c r="L56" s="50" t="str">
        <f>IF(ISERROR(VLOOKUP(B56,טבלאות!$G:$H,2,0)),"",VLOOKUP(B56,טבלאות!$G:$H,2,0))</f>
        <v/>
      </c>
      <c r="M56" s="51" t="str">
        <f t="shared" si="0"/>
        <v/>
      </c>
    </row>
    <row r="57" spans="1:13">
      <c r="A57" s="108"/>
      <c r="B57" s="108"/>
      <c r="C57" s="108"/>
      <c r="D57" s="109"/>
      <c r="E57" s="108"/>
      <c r="F57" s="108"/>
      <c r="G57" s="108"/>
      <c r="H57" s="108"/>
      <c r="I57" s="109"/>
      <c r="J57" s="106"/>
      <c r="K57" t="str">
        <f>IF(A57&gt;0,VLOOKUP(A57,טבלאות!$J:$K,2,0),"")</f>
        <v/>
      </c>
      <c r="L57" s="50" t="str">
        <f>IF(ISERROR(VLOOKUP(B57,טבלאות!$G:$H,2,0)),"",VLOOKUP(B57,טבלאות!$G:$H,2,0))</f>
        <v/>
      </c>
      <c r="M57" s="51" t="str">
        <f t="shared" si="0"/>
        <v/>
      </c>
    </row>
    <row r="58" spans="1:13">
      <c r="A58" s="108"/>
      <c r="B58" s="108"/>
      <c r="C58" s="108"/>
      <c r="D58" s="119"/>
      <c r="E58" s="108"/>
      <c r="F58" s="108"/>
      <c r="G58" s="108"/>
      <c r="H58" s="108"/>
      <c r="I58" s="109"/>
      <c r="J58" s="106"/>
      <c r="K58" t="str">
        <f>IF(A58&gt;0,VLOOKUP(A58,טבלאות!$J:$K,2,0),"")</f>
        <v/>
      </c>
      <c r="L58" s="50" t="str">
        <f>IF(ISERROR(VLOOKUP(B58,טבלאות!$G:$H,2,0)),"",VLOOKUP(B58,טבלאות!$G:$H,2,0))</f>
        <v/>
      </c>
      <c r="M58" s="51" t="str">
        <f t="shared" si="0"/>
        <v/>
      </c>
    </row>
    <row r="59" spans="1:13">
      <c r="A59" s="108"/>
      <c r="B59" s="108"/>
      <c r="C59" s="108"/>
      <c r="D59" s="119"/>
      <c r="E59" s="108"/>
      <c r="F59" s="108"/>
      <c r="G59" s="108"/>
      <c r="H59" s="108"/>
      <c r="I59" s="109"/>
      <c r="J59" s="106"/>
      <c r="K59" t="str">
        <f>IF(A59&gt;0,VLOOKUP(A59,טבלאות!$J:$K,2,0),"")</f>
        <v/>
      </c>
      <c r="L59" s="50" t="str">
        <f>IF(ISERROR(VLOOKUP(B59,טבלאות!$G:$H,2,0)),"",VLOOKUP(B59,טבלאות!$G:$H,2,0))</f>
        <v/>
      </c>
      <c r="M59" s="51" t="str">
        <f t="shared" si="0"/>
        <v/>
      </c>
    </row>
    <row r="60" spans="1:13">
      <c r="A60" s="108"/>
      <c r="B60" s="108"/>
      <c r="C60" s="108"/>
      <c r="D60" s="119"/>
      <c r="E60" s="108"/>
      <c r="F60" s="108"/>
      <c r="G60" s="108"/>
      <c r="H60" s="108"/>
      <c r="I60" s="109"/>
      <c r="J60" s="106"/>
      <c r="K60" t="str">
        <f>IF(A60&gt;0,VLOOKUP(A60,טבלאות!$J:$K,2,0),"")</f>
        <v/>
      </c>
      <c r="L60" s="50" t="str">
        <f>IF(ISERROR(VLOOKUP(B60,טבלאות!$G:$H,2,0)),"",VLOOKUP(B60,טבלאות!$G:$H,2,0))</f>
        <v/>
      </c>
      <c r="M60" s="51" t="str">
        <f t="shared" si="0"/>
        <v/>
      </c>
    </row>
    <row r="61" spans="1:13">
      <c r="A61" s="108"/>
      <c r="B61" s="108"/>
      <c r="C61" s="108"/>
      <c r="D61" s="119"/>
      <c r="E61" s="108"/>
      <c r="F61" s="108"/>
      <c r="G61" s="108"/>
      <c r="H61" s="108"/>
      <c r="I61" s="109"/>
      <c r="J61" s="106"/>
      <c r="K61" t="str">
        <f>IF(A61&gt;0,VLOOKUP(A61,טבלאות!$J:$K,2,0),"")</f>
        <v/>
      </c>
      <c r="L61" s="50" t="str">
        <f>IF(ISERROR(VLOOKUP(B61,טבלאות!$G:$H,2,0)),"",VLOOKUP(B61,טבלאות!$G:$H,2,0))</f>
        <v/>
      </c>
      <c r="M61" s="51" t="str">
        <f t="shared" si="0"/>
        <v/>
      </c>
    </row>
    <row r="62" spans="1:13">
      <c r="A62" s="108"/>
      <c r="B62" s="108"/>
      <c r="C62" s="108"/>
      <c r="D62" s="119"/>
      <c r="E62" s="108"/>
      <c r="F62" s="108"/>
      <c r="G62" s="108"/>
      <c r="H62" s="108"/>
      <c r="I62" s="109"/>
      <c r="J62" s="106"/>
      <c r="K62" t="str">
        <f>IF(A62&gt;0,VLOOKUP(A62,טבלאות!$J:$K,2,0),"")</f>
        <v/>
      </c>
      <c r="L62" s="50" t="str">
        <f>IF(ISERROR(VLOOKUP(B62,טבלאות!$G:$H,2,0)),"",VLOOKUP(B62,טבלאות!$G:$H,2,0))</f>
        <v/>
      </c>
      <c r="M62" s="51" t="str">
        <f t="shared" si="0"/>
        <v/>
      </c>
    </row>
    <row r="63" spans="1:13">
      <c r="A63" s="108"/>
      <c r="B63" s="108"/>
      <c r="C63" s="108"/>
      <c r="D63" s="119"/>
      <c r="E63" s="108"/>
      <c r="F63" s="108"/>
      <c r="G63" s="108"/>
      <c r="H63" s="108"/>
      <c r="I63" s="109"/>
      <c r="J63" s="106"/>
      <c r="K63" t="str">
        <f>IF(A63&gt;0,VLOOKUP(A63,טבלאות!$J:$K,2,0),"")</f>
        <v/>
      </c>
      <c r="L63" s="50" t="str">
        <f>IF(ISERROR(VLOOKUP(B63,טבלאות!$G:$H,2,0)),"",VLOOKUP(B63,טבלאות!$G:$H,2,0))</f>
        <v/>
      </c>
      <c r="M63" s="51" t="str">
        <f t="shared" si="0"/>
        <v/>
      </c>
    </row>
    <row r="64" spans="1:13">
      <c r="A64" s="108"/>
      <c r="B64" s="108"/>
      <c r="C64" s="108"/>
      <c r="D64" s="109"/>
      <c r="E64" s="108"/>
      <c r="F64" s="108"/>
      <c r="G64" s="108"/>
      <c r="H64" s="108"/>
      <c r="I64" s="109"/>
      <c r="J64" s="106"/>
      <c r="K64" t="str">
        <f>IF(A64&gt;0,VLOOKUP(A64,טבלאות!$J:$K,2,0),"")</f>
        <v/>
      </c>
      <c r="L64" s="50" t="str">
        <f>IF(ISERROR(VLOOKUP(B64,טבלאות!$G:$H,2,0)),"",VLOOKUP(B64,טבלאות!$G:$H,2,0))</f>
        <v/>
      </c>
      <c r="M64" s="51" t="str">
        <f t="shared" si="0"/>
        <v/>
      </c>
    </row>
    <row r="65" spans="1:13">
      <c r="A65" s="108"/>
      <c r="B65" s="108"/>
      <c r="C65" s="108"/>
      <c r="D65" s="109"/>
      <c r="E65" s="108"/>
      <c r="F65" s="108"/>
      <c r="G65" s="108"/>
      <c r="H65" s="108"/>
      <c r="I65" s="109"/>
      <c r="J65" s="106"/>
      <c r="K65" t="str">
        <f>IF(A65&gt;0,VLOOKUP(A65,טבלאות!$J:$K,2,0),"")</f>
        <v/>
      </c>
      <c r="L65" s="50" t="str">
        <f>IF(ISERROR(VLOOKUP(B65,טבלאות!$G:$H,2,0)),"",VLOOKUP(B65,טבלאות!$G:$H,2,0))</f>
        <v/>
      </c>
      <c r="M65" s="51" t="str">
        <f t="shared" si="0"/>
        <v/>
      </c>
    </row>
    <row r="66" spans="1:13">
      <c r="A66" s="108"/>
      <c r="B66" s="108"/>
      <c r="C66" s="108"/>
      <c r="D66" s="109"/>
      <c r="E66" s="108"/>
      <c r="F66" s="108"/>
      <c r="G66" s="108"/>
      <c r="H66" s="108"/>
      <c r="I66" s="109"/>
      <c r="J66" s="106"/>
      <c r="K66" t="str">
        <f>IF(A66&gt;0,VLOOKUP(A66,טבלאות!$J:$K,2,0),"")</f>
        <v/>
      </c>
      <c r="L66" s="50" t="str">
        <f>IF(ISERROR(VLOOKUP(B66,טבלאות!$G:$H,2,0)),"",VLOOKUP(B66,טבלאות!$G:$H,2,0))</f>
        <v/>
      </c>
      <c r="M66" s="51" t="str">
        <f t="shared" ref="M66:M129" si="1">IF(OR(L66="",L66="?"),"",IF(L66&gt;0,I66,""))</f>
        <v/>
      </c>
    </row>
    <row r="67" spans="1:13">
      <c r="A67" s="108"/>
      <c r="B67" s="108"/>
      <c r="C67" s="108"/>
      <c r="D67" s="119"/>
      <c r="E67" s="108"/>
      <c r="F67" s="108"/>
      <c r="G67" s="108"/>
      <c r="H67" s="108"/>
      <c r="I67" s="109"/>
      <c r="J67" s="106"/>
      <c r="K67" t="str">
        <f>IF(A67&gt;0,VLOOKUP(A67,טבלאות!$J:$K,2,0),"")</f>
        <v/>
      </c>
      <c r="L67" s="50" t="str">
        <f>IF(ISERROR(VLOOKUP(B67,טבלאות!$G:$H,2,0)),"",VLOOKUP(B67,טבלאות!$G:$H,2,0))</f>
        <v/>
      </c>
      <c r="M67" s="51" t="str">
        <f t="shared" si="1"/>
        <v/>
      </c>
    </row>
    <row r="68" spans="1:13">
      <c r="A68" s="108"/>
      <c r="B68" s="108"/>
      <c r="C68" s="108"/>
      <c r="D68" s="119"/>
      <c r="E68" s="108"/>
      <c r="F68" s="108"/>
      <c r="G68" s="108"/>
      <c r="H68" s="108"/>
      <c r="I68" s="109"/>
      <c r="J68" s="106"/>
      <c r="K68" t="str">
        <f>IF(A68&gt;0,VLOOKUP(A68,טבלאות!$J:$K,2,0),"")</f>
        <v/>
      </c>
      <c r="L68" s="50" t="str">
        <f>IF(ISERROR(VLOOKUP(B68,טבלאות!$G:$H,2,0)),"",VLOOKUP(B68,טבלאות!$G:$H,2,0))</f>
        <v/>
      </c>
      <c r="M68" s="51" t="str">
        <f t="shared" si="1"/>
        <v/>
      </c>
    </row>
    <row r="69" spans="1:13">
      <c r="A69" s="108"/>
      <c r="B69" s="108"/>
      <c r="C69" s="108"/>
      <c r="D69" s="119"/>
      <c r="E69" s="108"/>
      <c r="F69" s="108"/>
      <c r="G69" s="108"/>
      <c r="H69" s="108"/>
      <c r="I69" s="109"/>
      <c r="J69" s="106"/>
      <c r="K69" t="str">
        <f>IF(A69&gt;0,VLOOKUP(A69,טבלאות!$J:$K,2,0),"")</f>
        <v/>
      </c>
      <c r="L69" s="50" t="str">
        <f>IF(ISERROR(VLOOKUP(B69,טבלאות!$G:$H,2,0)),"",VLOOKUP(B69,טבלאות!$G:$H,2,0))</f>
        <v/>
      </c>
      <c r="M69" s="51" t="str">
        <f t="shared" si="1"/>
        <v/>
      </c>
    </row>
    <row r="70" spans="1:13">
      <c r="A70" s="108"/>
      <c r="B70" s="108"/>
      <c r="C70" s="108"/>
      <c r="D70" s="119"/>
      <c r="E70" s="108"/>
      <c r="F70" s="108"/>
      <c r="G70" s="108"/>
      <c r="H70" s="108"/>
      <c r="I70" s="109"/>
      <c r="J70" s="106"/>
      <c r="K70" t="str">
        <f>IF(A70&gt;0,VLOOKUP(A70,טבלאות!$J:$K,2,0),"")</f>
        <v/>
      </c>
      <c r="L70" s="50" t="str">
        <f>IF(ISERROR(VLOOKUP(B70,טבלאות!$G:$H,2,0)),"",VLOOKUP(B70,טבלאות!$G:$H,2,0))</f>
        <v/>
      </c>
      <c r="M70" s="51" t="str">
        <f t="shared" si="1"/>
        <v/>
      </c>
    </row>
    <row r="71" spans="1:13">
      <c r="A71" s="108"/>
      <c r="B71" s="108"/>
      <c r="C71" s="108"/>
      <c r="D71" s="119"/>
      <c r="E71" s="108"/>
      <c r="F71" s="108"/>
      <c r="G71" s="108"/>
      <c r="H71" s="108"/>
      <c r="I71" s="109"/>
      <c r="K71" t="str">
        <f>IF(A71&gt;0,VLOOKUP(A71,טבלאות!$J:$K,2,0),"")</f>
        <v/>
      </c>
      <c r="L71" s="50" t="str">
        <f>IF(ISERROR(VLOOKUP(B71,טבלאות!$G:$H,2,0)),"",VLOOKUP(B71,טבלאות!$G:$H,2,0))</f>
        <v/>
      </c>
      <c r="M71" s="51" t="str">
        <f t="shared" si="1"/>
        <v/>
      </c>
    </row>
    <row r="72" spans="1:13">
      <c r="A72" s="108"/>
      <c r="B72" s="108"/>
      <c r="C72" s="108"/>
      <c r="D72" s="119"/>
      <c r="E72" s="108"/>
      <c r="F72" s="108"/>
      <c r="G72" s="108"/>
      <c r="H72" s="108"/>
      <c r="I72" s="109"/>
      <c r="K72" t="str">
        <f>IF(A72&gt;0,VLOOKUP(A72,טבלאות!$J:$K,2,0),"")</f>
        <v/>
      </c>
      <c r="L72" s="50" t="str">
        <f>IF(ISERROR(VLOOKUP(B72,טבלאות!$G:$H,2,0)),"",VLOOKUP(B72,טבלאות!$G:$H,2,0))</f>
        <v/>
      </c>
      <c r="M72" s="51" t="str">
        <f t="shared" si="1"/>
        <v/>
      </c>
    </row>
    <row r="73" spans="1:13">
      <c r="A73" s="108"/>
      <c r="B73" s="108"/>
      <c r="C73" s="108"/>
      <c r="D73" s="119"/>
      <c r="E73" s="108"/>
      <c r="F73" s="108"/>
      <c r="G73" s="108"/>
      <c r="H73" s="108"/>
      <c r="I73" s="109"/>
      <c r="K73" t="str">
        <f>IF(A73&gt;0,VLOOKUP(A73,טבלאות!$J:$K,2,0),"")</f>
        <v/>
      </c>
      <c r="L73" s="50" t="str">
        <f>IF(ISERROR(VLOOKUP(B73,טבלאות!$G:$H,2,0)),"",VLOOKUP(B73,טבלאות!$G:$H,2,0))</f>
        <v/>
      </c>
      <c r="M73" s="51" t="str">
        <f t="shared" si="1"/>
        <v/>
      </c>
    </row>
    <row r="74" spans="1:13">
      <c r="A74" s="108"/>
      <c r="B74" s="108"/>
      <c r="C74" s="108"/>
      <c r="D74" s="109"/>
      <c r="E74" s="108"/>
      <c r="F74" s="108"/>
      <c r="G74" s="108"/>
      <c r="H74" s="108"/>
      <c r="I74" s="109"/>
      <c r="K74" t="str">
        <f>IF(A74&gt;0,VLOOKUP(A74,טבלאות!$J:$K,2,0),"")</f>
        <v/>
      </c>
      <c r="L74" s="50" t="str">
        <f>IF(ISERROR(VLOOKUP(B74,טבלאות!$G:$H,2,0)),"",VLOOKUP(B74,טבלאות!$G:$H,2,0))</f>
        <v/>
      </c>
      <c r="M74" s="51" t="str">
        <f t="shared" si="1"/>
        <v/>
      </c>
    </row>
    <row r="75" spans="1:13">
      <c r="A75" s="108"/>
      <c r="B75" s="108"/>
      <c r="C75" s="108"/>
      <c r="D75" s="109"/>
      <c r="E75" s="108"/>
      <c r="F75" s="108"/>
      <c r="G75" s="108"/>
      <c r="H75" s="108"/>
      <c r="I75" s="109"/>
      <c r="K75" t="str">
        <f>IF(A75&gt;0,VLOOKUP(A75,טבלאות!$J:$K,2,0),"")</f>
        <v/>
      </c>
      <c r="L75" s="50" t="str">
        <f>IF(ISERROR(VLOOKUP(B75,טבלאות!$G:$H,2,0)),"",VLOOKUP(B75,טבלאות!$G:$H,2,0))</f>
        <v/>
      </c>
      <c r="M75" s="51" t="str">
        <f t="shared" si="1"/>
        <v/>
      </c>
    </row>
    <row r="76" spans="1:13">
      <c r="A76" s="108"/>
      <c r="B76" s="108"/>
      <c r="C76" s="108"/>
      <c r="D76" s="109"/>
      <c r="E76" s="108"/>
      <c r="F76" s="108"/>
      <c r="G76" s="108"/>
      <c r="H76" s="108"/>
      <c r="I76" s="109"/>
      <c r="K76" t="str">
        <f>IF(A76&gt;0,VLOOKUP(A76,טבלאות!$J:$K,2,0),"")</f>
        <v/>
      </c>
      <c r="L76" s="50" t="str">
        <f>IF(ISERROR(VLOOKUP(B76,טבלאות!$G:$H,2,0)),"",VLOOKUP(B76,טבלאות!$G:$H,2,0))</f>
        <v/>
      </c>
      <c r="M76" s="51" t="str">
        <f t="shared" si="1"/>
        <v/>
      </c>
    </row>
    <row r="77" spans="1:13">
      <c r="A77" s="108"/>
      <c r="B77" s="108"/>
      <c r="C77" s="108"/>
      <c r="D77" s="119"/>
      <c r="E77" s="108"/>
      <c r="F77" s="108"/>
      <c r="G77" s="108"/>
      <c r="H77" s="108"/>
      <c r="I77" s="109"/>
      <c r="K77" t="str">
        <f>IF(A77&gt;0,VLOOKUP(A77,טבלאות!$J:$K,2,0),"")</f>
        <v/>
      </c>
      <c r="L77" s="50" t="str">
        <f>IF(ISERROR(VLOOKUP(B77,טבלאות!$G:$H,2,0)),"",VLOOKUP(B77,טבלאות!$G:$H,2,0))</f>
        <v/>
      </c>
      <c r="M77" s="51" t="str">
        <f t="shared" si="1"/>
        <v/>
      </c>
    </row>
    <row r="78" spans="1:13">
      <c r="A78" s="108"/>
      <c r="B78" s="108"/>
      <c r="C78" s="108"/>
      <c r="D78" s="119"/>
      <c r="E78" s="108"/>
      <c r="F78" s="108"/>
      <c r="G78" s="108"/>
      <c r="H78" s="108"/>
      <c r="I78" s="109"/>
      <c r="K78" t="str">
        <f>IF(A78&gt;0,VLOOKUP(A78,טבלאות!$J:$K,2,0),"")</f>
        <v/>
      </c>
      <c r="L78" s="50" t="str">
        <f>IF(ISERROR(VLOOKUP(B78,טבלאות!$G:$H,2,0)),"",VLOOKUP(B78,טבלאות!$G:$H,2,0))</f>
        <v/>
      </c>
      <c r="M78" s="51" t="str">
        <f t="shared" si="1"/>
        <v/>
      </c>
    </row>
    <row r="79" spans="1:13">
      <c r="A79" s="108"/>
      <c r="B79" s="108"/>
      <c r="C79" s="108"/>
      <c r="D79" s="119"/>
      <c r="E79" s="108"/>
      <c r="F79" s="108"/>
      <c r="G79" s="108"/>
      <c r="H79" s="108"/>
      <c r="I79" s="109"/>
      <c r="K79" t="str">
        <f>IF(A79&gt;0,VLOOKUP(A79,טבלאות!$J:$K,2,0),"")</f>
        <v/>
      </c>
      <c r="L79" s="50" t="str">
        <f>IF(ISERROR(VLOOKUP(B79,טבלאות!$G:$H,2,0)),"",VLOOKUP(B79,טבלאות!$G:$H,2,0))</f>
        <v/>
      </c>
      <c r="M79" s="51" t="str">
        <f t="shared" si="1"/>
        <v/>
      </c>
    </row>
    <row r="80" spans="1:13">
      <c r="A80" s="108"/>
      <c r="B80" s="108"/>
      <c r="C80" s="108"/>
      <c r="D80" s="119"/>
      <c r="E80" s="108"/>
      <c r="F80" s="108"/>
      <c r="G80" s="108"/>
      <c r="H80" s="108"/>
      <c r="I80" s="109"/>
      <c r="K80" t="str">
        <f>IF(A80&gt;0,VLOOKUP(A80,טבלאות!$J:$K,2,0),"")</f>
        <v/>
      </c>
      <c r="L80" s="50" t="str">
        <f>IF(ISERROR(VLOOKUP(B80,טבלאות!$G:$H,2,0)),"",VLOOKUP(B80,טבלאות!$G:$H,2,0))</f>
        <v/>
      </c>
      <c r="M80" s="51" t="str">
        <f t="shared" si="1"/>
        <v/>
      </c>
    </row>
    <row r="81" spans="1:13">
      <c r="A81" s="108"/>
      <c r="B81" s="108"/>
      <c r="C81" s="108"/>
      <c r="D81" s="119"/>
      <c r="E81" s="108"/>
      <c r="F81" s="108"/>
      <c r="G81" s="108"/>
      <c r="H81" s="108"/>
      <c r="I81" s="109"/>
      <c r="K81" t="str">
        <f>IF(A81&gt;0,VLOOKUP(A81,טבלאות!$J:$K,2,0),"")</f>
        <v/>
      </c>
      <c r="L81" s="50" t="str">
        <f>IF(ISERROR(VLOOKUP(B81,טבלאות!$G:$H,2,0)),"",VLOOKUP(B81,טבלאות!$G:$H,2,0))</f>
        <v/>
      </c>
      <c r="M81" s="51" t="str">
        <f t="shared" si="1"/>
        <v/>
      </c>
    </row>
    <row r="82" spans="1:13">
      <c r="A82" s="108"/>
      <c r="B82" s="108"/>
      <c r="C82" s="108"/>
      <c r="D82" s="119"/>
      <c r="E82" s="108"/>
      <c r="F82" s="108"/>
      <c r="G82" s="108"/>
      <c r="H82" s="108"/>
      <c r="I82" s="109"/>
      <c r="K82" t="str">
        <f>IF(A82&gt;0,VLOOKUP(A82,טבלאות!$J:$K,2,0),"")</f>
        <v/>
      </c>
      <c r="L82" s="50" t="str">
        <f>IF(ISERROR(VLOOKUP(B82,טבלאות!$G:$H,2,0)),"",VLOOKUP(B82,טבלאות!$G:$H,2,0))</f>
        <v/>
      </c>
      <c r="M82" s="51" t="str">
        <f t="shared" si="1"/>
        <v/>
      </c>
    </row>
    <row r="83" spans="1:13">
      <c r="A83" s="108"/>
      <c r="B83" s="108"/>
      <c r="C83" s="108"/>
      <c r="D83" s="119"/>
      <c r="E83" s="108"/>
      <c r="F83" s="108"/>
      <c r="G83" s="108"/>
      <c r="H83" s="108"/>
      <c r="I83" s="109"/>
      <c r="K83" t="str">
        <f>IF(A83&gt;0,VLOOKUP(A83,טבלאות!$J:$K,2,0),"")</f>
        <v/>
      </c>
      <c r="L83" s="50" t="str">
        <f>IF(ISERROR(VLOOKUP(B83,טבלאות!$G:$H,2,0)),"",VLOOKUP(B83,טבלאות!$G:$H,2,0))</f>
        <v/>
      </c>
      <c r="M83" s="51" t="str">
        <f t="shared" si="1"/>
        <v/>
      </c>
    </row>
    <row r="84" spans="1:13">
      <c r="A84" s="108"/>
      <c r="B84" s="108"/>
      <c r="C84" s="108"/>
      <c r="D84" s="119"/>
      <c r="E84" s="108"/>
      <c r="F84" s="108"/>
      <c r="G84" s="108"/>
      <c r="H84" s="108"/>
      <c r="I84" s="109"/>
      <c r="K84" t="str">
        <f>IF(A84&gt;0,VLOOKUP(A84,טבלאות!$J:$K,2,0),"")</f>
        <v/>
      </c>
      <c r="L84" s="50" t="str">
        <f>IF(ISERROR(VLOOKUP(B84,טבלאות!$G:$H,2,0)),"",VLOOKUP(B84,טבלאות!$G:$H,2,0))</f>
        <v/>
      </c>
      <c r="M84" s="51" t="str">
        <f t="shared" si="1"/>
        <v/>
      </c>
    </row>
    <row r="85" spans="1:13">
      <c r="A85" s="108"/>
      <c r="B85" s="108"/>
      <c r="C85" s="108"/>
      <c r="D85" s="119"/>
      <c r="E85" s="108"/>
      <c r="F85" s="108"/>
      <c r="G85" s="108"/>
      <c r="H85" s="108"/>
      <c r="I85" s="109"/>
      <c r="K85" t="str">
        <f>IF(A85&gt;0,VLOOKUP(A85,טבלאות!$J:$K,2,0),"")</f>
        <v/>
      </c>
      <c r="L85" s="50" t="str">
        <f>IF(ISERROR(VLOOKUP(B85,טבלאות!$G:$H,2,0)),"",VLOOKUP(B85,טבלאות!$G:$H,2,0))</f>
        <v/>
      </c>
      <c r="M85" s="51" t="str">
        <f t="shared" si="1"/>
        <v/>
      </c>
    </row>
    <row r="86" spans="1:13">
      <c r="A86" s="108"/>
      <c r="B86" s="108"/>
      <c r="C86" s="108"/>
      <c r="D86" s="109"/>
      <c r="E86" s="108"/>
      <c r="F86" s="108"/>
      <c r="G86" s="108"/>
      <c r="H86" s="108"/>
      <c r="I86" s="109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 t="shared" si="1"/>
        <v/>
      </c>
    </row>
    <row r="87" spans="1:13">
      <c r="A87" s="108"/>
      <c r="B87" s="108"/>
      <c r="C87" s="108"/>
      <c r="D87" s="109"/>
      <c r="E87" s="108"/>
      <c r="F87" s="108"/>
      <c r="G87" s="108"/>
      <c r="H87" s="108"/>
      <c r="I87" s="109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1"/>
        <v/>
      </c>
    </row>
    <row r="88" spans="1:13">
      <c r="A88" s="108"/>
      <c r="B88" s="108"/>
      <c r="C88" s="108"/>
      <c r="D88" s="119"/>
      <c r="E88" s="108"/>
      <c r="F88" s="108"/>
      <c r="G88" s="108"/>
      <c r="H88" s="108"/>
      <c r="I88" s="109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1"/>
        <v/>
      </c>
    </row>
    <row r="89" spans="1:13">
      <c r="A89" s="108"/>
      <c r="B89" s="108"/>
      <c r="C89" s="108"/>
      <c r="D89" s="119"/>
      <c r="E89" s="108"/>
      <c r="F89" s="108"/>
      <c r="G89" s="108"/>
      <c r="H89" s="108"/>
      <c r="I89" s="109"/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1"/>
        <v/>
      </c>
    </row>
    <row r="90" spans="1:13">
      <c r="A90" s="108"/>
      <c r="B90" s="108"/>
      <c r="C90" s="108"/>
      <c r="D90" s="119"/>
      <c r="E90" s="108"/>
      <c r="F90" s="108"/>
      <c r="G90" s="108"/>
      <c r="H90" s="108"/>
      <c r="I90" s="109"/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1"/>
        <v/>
      </c>
    </row>
    <row r="91" spans="1:13">
      <c r="A91" s="108"/>
      <c r="B91" s="108"/>
      <c r="C91" s="108"/>
      <c r="D91" s="119"/>
      <c r="E91" s="108"/>
      <c r="F91" s="108"/>
      <c r="G91" s="108"/>
      <c r="H91" s="108"/>
      <c r="I91" s="109"/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1"/>
        <v/>
      </c>
    </row>
    <row r="92" spans="1:13">
      <c r="A92" s="108"/>
      <c r="B92" s="108"/>
      <c r="C92" s="108"/>
      <c r="D92" s="109"/>
      <c r="E92" s="108"/>
      <c r="F92" s="108"/>
      <c r="G92" s="108"/>
      <c r="H92" s="108"/>
      <c r="I92" s="109"/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1"/>
        <v/>
      </c>
    </row>
    <row r="93" spans="1:13">
      <c r="A93" s="108"/>
      <c r="B93" s="108"/>
      <c r="C93" s="108"/>
      <c r="D93" s="109"/>
      <c r="E93" s="108"/>
      <c r="F93" s="108"/>
      <c r="G93" s="108"/>
      <c r="H93" s="108"/>
      <c r="I93" s="109"/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1"/>
        <v/>
      </c>
    </row>
    <row r="94" spans="1:13">
      <c r="A94" s="108"/>
      <c r="B94" s="108"/>
      <c r="C94" s="108"/>
      <c r="D94" s="109"/>
      <c r="E94" s="108"/>
      <c r="F94" s="108"/>
      <c r="G94" s="108"/>
      <c r="H94" s="108"/>
      <c r="I94" s="109"/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1"/>
        <v/>
      </c>
    </row>
    <row r="95" spans="1:13">
      <c r="A95" s="108"/>
      <c r="B95" s="108"/>
      <c r="C95" s="108"/>
      <c r="D95" s="119"/>
      <c r="E95" s="108"/>
      <c r="F95" s="108"/>
      <c r="G95" s="108"/>
      <c r="H95" s="108"/>
      <c r="I95" s="109"/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1"/>
        <v/>
      </c>
    </row>
    <row r="96" spans="1:13">
      <c r="A96" s="108"/>
      <c r="B96" s="108"/>
      <c r="C96" s="108"/>
      <c r="D96" s="119"/>
      <c r="E96" s="108"/>
      <c r="F96" s="108"/>
      <c r="G96" s="108"/>
      <c r="H96" s="108"/>
      <c r="I96" s="109"/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1"/>
        <v/>
      </c>
    </row>
    <row r="97" spans="1:13">
      <c r="A97" s="108"/>
      <c r="B97" s="108"/>
      <c r="C97" s="108"/>
      <c r="D97" s="119"/>
      <c r="E97" s="108"/>
      <c r="F97" s="108"/>
      <c r="G97" s="108"/>
      <c r="H97" s="108"/>
      <c r="I97" s="109"/>
      <c r="K97" t="str">
        <f>IF(A97&gt;0,VLOOKUP(A97,טבלאות!$J:$K,2,0),"")</f>
        <v/>
      </c>
      <c r="L97" s="50" t="str">
        <f>IF(ISERROR(VLOOKUP(B97,טבלאות!$G:$H,2,0)),"",VLOOKUP(B97,טבלאות!$G:$H,2,0))</f>
        <v/>
      </c>
      <c r="M97" s="51" t="str">
        <f t="shared" si="1"/>
        <v/>
      </c>
    </row>
    <row r="98" spans="1:13">
      <c r="A98" s="108"/>
      <c r="B98" s="108"/>
      <c r="C98" s="108"/>
      <c r="D98" s="119"/>
      <c r="E98" s="108"/>
      <c r="F98" s="108"/>
      <c r="G98" s="108"/>
      <c r="H98" s="108"/>
      <c r="I98" s="109"/>
      <c r="K98" t="str">
        <f>IF(A98&gt;0,VLOOKUP(A98,טבלאות!$J:$K,2,0),"")</f>
        <v/>
      </c>
      <c r="L98" s="50" t="str">
        <f>IF(ISERROR(VLOOKUP(B98,טבלאות!$G:$H,2,0)),"",VLOOKUP(B98,טבלאות!$G:$H,2,0))</f>
        <v/>
      </c>
      <c r="M98" s="51" t="str">
        <f t="shared" si="1"/>
        <v/>
      </c>
    </row>
    <row r="99" spans="1:13">
      <c r="A99" s="108"/>
      <c r="B99" s="108"/>
      <c r="C99" s="108"/>
      <c r="D99" s="119"/>
      <c r="E99" s="108"/>
      <c r="F99" s="108"/>
      <c r="G99" s="108"/>
      <c r="H99" s="108"/>
      <c r="I99" s="109"/>
      <c r="K99" t="str">
        <f>IF(A99&gt;0,VLOOKUP(A99,טבלאות!$J:$K,2,0),"")</f>
        <v/>
      </c>
      <c r="L99" s="50" t="str">
        <f>IF(ISERROR(VLOOKUP(B99,טבלאות!$G:$H,2,0)),"",VLOOKUP(B99,טבלאות!$G:$H,2,0))</f>
        <v/>
      </c>
      <c r="M99" s="51" t="str">
        <f t="shared" si="1"/>
        <v/>
      </c>
    </row>
    <row r="100" spans="1:13">
      <c r="A100" s="108"/>
      <c r="B100" s="108"/>
      <c r="C100" s="108"/>
      <c r="D100" s="119"/>
      <c r="E100" s="108"/>
      <c r="F100" s="108"/>
      <c r="G100" s="108"/>
      <c r="H100" s="108"/>
      <c r="I100" s="109"/>
      <c r="K100" t="str">
        <f>IF(A100&gt;0,VLOOKUP(A100,טבלאות!$J:$K,2,0),"")</f>
        <v/>
      </c>
      <c r="L100" s="50" t="str">
        <f>IF(ISERROR(VLOOKUP(B100,טבלאות!$G:$H,2,0)),"",VLOOKUP(B100,טבלאות!$G:$H,2,0))</f>
        <v/>
      </c>
      <c r="M100" s="51" t="str">
        <f t="shared" si="1"/>
        <v/>
      </c>
    </row>
    <row r="101" spans="1:13">
      <c r="A101" s="108"/>
      <c r="B101" s="108"/>
      <c r="C101" s="108"/>
      <c r="D101" s="119"/>
      <c r="E101" s="108"/>
      <c r="F101" s="108"/>
      <c r="G101" s="108"/>
      <c r="H101" s="108"/>
      <c r="I101" s="109"/>
      <c r="K101" t="str">
        <f>IF(A101&gt;0,VLOOKUP(A101,טבלאות!$J:$K,2,0),"")</f>
        <v/>
      </c>
      <c r="L101" s="50" t="str">
        <f>IF(ISERROR(VLOOKUP(B101,טבלאות!$G:$H,2,0)),"",VLOOKUP(B101,טבלאות!$G:$H,2,0))</f>
        <v/>
      </c>
      <c r="M101" s="51" t="str">
        <f t="shared" si="1"/>
        <v/>
      </c>
    </row>
    <row r="102" spans="1:13">
      <c r="A102" s="108"/>
      <c r="B102" s="108"/>
      <c r="C102" s="108"/>
      <c r="D102" s="119"/>
      <c r="E102" s="108"/>
      <c r="F102" s="108"/>
      <c r="G102" s="108"/>
      <c r="H102" s="108"/>
      <c r="I102" s="109"/>
      <c r="K102" t="str">
        <f>IF(A102&gt;0,VLOOKUP(A102,טבלאות!$J:$K,2,0),"")</f>
        <v/>
      </c>
      <c r="L102" s="50" t="str">
        <f>IF(ISERROR(VLOOKUP(B102,טבלאות!$G:$H,2,0)),"",VLOOKUP(B102,טבלאות!$G:$H,2,0))</f>
        <v/>
      </c>
      <c r="M102" s="51" t="str">
        <f t="shared" si="1"/>
        <v/>
      </c>
    </row>
    <row r="103" spans="1:13">
      <c r="A103" s="108"/>
      <c r="B103" s="108"/>
      <c r="C103" s="108"/>
      <c r="D103" s="109"/>
      <c r="E103" s="108"/>
      <c r="F103" s="108"/>
      <c r="G103" s="108"/>
      <c r="H103" s="108"/>
      <c r="I103" s="109"/>
      <c r="L103" s="50" t="str">
        <f>IF(ISERROR(VLOOKUP(B103,טבלאות!$G:$H,2,0)),"",VLOOKUP(B103,טבלאות!$G:$H,2,0))</f>
        <v/>
      </c>
      <c r="M103" s="51" t="str">
        <f t="shared" si="1"/>
        <v/>
      </c>
    </row>
    <row r="104" spans="1:13">
      <c r="A104" s="108"/>
      <c r="B104" s="108"/>
      <c r="C104" s="108"/>
      <c r="D104" s="119"/>
      <c r="E104" s="108"/>
      <c r="F104" s="108"/>
      <c r="G104" s="108"/>
      <c r="H104" s="108"/>
      <c r="I104" s="109"/>
      <c r="K104" t="str">
        <f>IF(A104&gt;0,VLOOKUP(A104,טבלאות!$J:$K,2,0),"")</f>
        <v/>
      </c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1:13">
      <c r="A105" s="108"/>
      <c r="B105" s="108"/>
      <c r="C105" s="108"/>
      <c r="D105" s="119"/>
      <c r="E105" s="108"/>
      <c r="F105" s="108"/>
      <c r="G105" s="108"/>
      <c r="H105" s="108"/>
      <c r="I105" s="109"/>
      <c r="K105" t="str">
        <f>IF(A105&gt;0,VLOOKUP(A105,טבלאות!$J:$K,2,0),"")</f>
        <v/>
      </c>
      <c r="L105" s="50" t="str">
        <f>IF(ISERROR(VLOOKUP(B105,טבלאות!$G:$H,2,0)),"",VLOOKUP(B105,טבלאות!$G:$H,2,0))</f>
        <v/>
      </c>
      <c r="M105" s="51" t="str">
        <f t="shared" si="1"/>
        <v/>
      </c>
    </row>
    <row r="106" spans="1:13">
      <c r="A106" s="108"/>
      <c r="B106" s="108"/>
      <c r="C106" s="108"/>
      <c r="D106" s="119"/>
      <c r="E106" s="108"/>
      <c r="F106" s="108"/>
      <c r="G106" s="108"/>
      <c r="H106" s="108"/>
      <c r="I106" s="109"/>
      <c r="K106" t="str">
        <f>IF(A106&gt;0,VLOOKUP(A106,טבלאות!$J:$K,2,0),"")</f>
        <v/>
      </c>
      <c r="L106" s="50" t="str">
        <f>IF(ISERROR(VLOOKUP(B106,טבלאות!$G:$H,2,0)),"",VLOOKUP(B106,טבלאות!$G:$H,2,0))</f>
        <v/>
      </c>
      <c r="M106" s="51" t="str">
        <f t="shared" si="1"/>
        <v/>
      </c>
    </row>
    <row r="107" spans="1:13">
      <c r="A107" s="108"/>
      <c r="B107" s="108"/>
      <c r="C107" s="108"/>
      <c r="D107" s="119"/>
      <c r="E107" s="108"/>
      <c r="F107" s="108"/>
      <c r="G107" s="108"/>
      <c r="H107" s="108"/>
      <c r="I107" s="109"/>
      <c r="K107" t="str">
        <f>IF(A107&gt;0,VLOOKUP(A107,טבלאות!$J:$K,2,0),"")</f>
        <v/>
      </c>
      <c r="L107" s="50" t="str">
        <f>IF(ISERROR(VLOOKUP(B107,טבלאות!$G:$H,2,0)),"",VLOOKUP(B107,טבלאות!$G:$H,2,0))</f>
        <v/>
      </c>
      <c r="M107" s="51" t="str">
        <f t="shared" si="1"/>
        <v/>
      </c>
    </row>
    <row r="108" spans="1:13">
      <c r="A108" s="108"/>
      <c r="B108" s="108"/>
      <c r="C108" s="108"/>
      <c r="D108" s="119"/>
      <c r="E108" s="108"/>
      <c r="F108" s="108"/>
      <c r="G108" s="108"/>
      <c r="H108" s="108"/>
      <c r="I108" s="109"/>
      <c r="K108" t="str">
        <f>IF(A108&gt;0,VLOOKUP(A108,טבלאות!$J:$K,2,0),"")</f>
        <v/>
      </c>
      <c r="L108" s="50" t="str">
        <f>IF(ISERROR(VLOOKUP(B108,טבלאות!$G:$H,2,0)),"",VLOOKUP(B108,טבלאות!$G:$H,2,0))</f>
        <v/>
      </c>
      <c r="M108" s="51" t="str">
        <f t="shared" si="1"/>
        <v/>
      </c>
    </row>
    <row r="109" spans="1:13">
      <c r="A109" s="108"/>
      <c r="B109" s="108"/>
      <c r="C109" s="108"/>
      <c r="D109" s="109"/>
      <c r="E109" s="108"/>
      <c r="F109" s="108"/>
      <c r="G109" s="108"/>
      <c r="H109" s="108"/>
      <c r="I109" s="109"/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1:13">
      <c r="A110" s="108"/>
      <c r="B110" s="108"/>
      <c r="C110" s="108"/>
      <c r="D110" s="109"/>
      <c r="E110" s="108"/>
      <c r="F110" s="108"/>
      <c r="G110" s="108"/>
      <c r="H110" s="108"/>
      <c r="I110" s="109"/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1:13">
      <c r="A111" s="108"/>
      <c r="B111" s="108"/>
      <c r="C111" s="108"/>
      <c r="D111" s="109"/>
      <c r="E111" s="108"/>
      <c r="F111" s="108"/>
      <c r="G111" s="108"/>
      <c r="H111" s="108"/>
      <c r="I111" s="109"/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1:13">
      <c r="A112" s="108"/>
      <c r="B112" s="108"/>
      <c r="C112" s="108"/>
      <c r="D112" s="120"/>
      <c r="E112" s="108"/>
      <c r="F112" s="108"/>
      <c r="G112" s="108"/>
      <c r="H112" s="108"/>
      <c r="I112" s="109"/>
      <c r="K112" t="str">
        <f>IF(A112&gt;0,VLOOKUP(A112,טבלאות!$J:$K,2,0),"")</f>
        <v/>
      </c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:13">
      <c r="A113" s="108"/>
      <c r="B113" s="108"/>
      <c r="C113" s="108"/>
      <c r="D113" s="119"/>
      <c r="E113" s="108"/>
      <c r="F113" s="108"/>
      <c r="G113" s="108"/>
      <c r="H113" s="108"/>
      <c r="I113" s="109"/>
      <c r="K113" t="str">
        <f>IF(A113&gt;0,VLOOKUP(A113,טבלאות!$J:$K,2,0),"")</f>
        <v/>
      </c>
      <c r="L113" s="50" t="str">
        <f>IF(ISERROR(VLOOKUP(B113,טבלאות!$G:$H,2,0)),"",VLOOKUP(B113,טבלאות!$G:$H,2,0))</f>
        <v/>
      </c>
      <c r="M113" s="51" t="str">
        <f t="shared" si="1"/>
        <v/>
      </c>
    </row>
    <row r="114" spans="1:13">
      <c r="A114" s="108"/>
      <c r="B114" s="108"/>
      <c r="C114" s="108"/>
      <c r="D114" s="119"/>
      <c r="E114" s="108"/>
      <c r="F114" s="108"/>
      <c r="G114" s="108"/>
      <c r="H114" s="108"/>
      <c r="I114" s="109"/>
      <c r="K114" t="str">
        <f>IF(A114&gt;0,VLOOKUP(A114,טבלאות!$J:$K,2,0),"")</f>
        <v/>
      </c>
      <c r="L114" s="50" t="str">
        <f>IF(ISERROR(VLOOKUP(B114,טבלאות!$G:$H,2,0)),"",VLOOKUP(B114,טבלאות!$G:$H,2,0))</f>
        <v/>
      </c>
      <c r="M114" s="51" t="str">
        <f t="shared" si="1"/>
        <v/>
      </c>
    </row>
    <row r="115" spans="1:13">
      <c r="A115" s="108"/>
      <c r="B115" s="108"/>
      <c r="C115" s="108"/>
      <c r="D115" s="119"/>
      <c r="E115" s="108"/>
      <c r="F115" s="108"/>
      <c r="G115" s="108"/>
      <c r="H115" s="108"/>
      <c r="I115" s="109"/>
      <c r="K115" t="str">
        <f>IF(A115&gt;0,VLOOKUP(A115,טבלאות!$J:$K,2,0),"")</f>
        <v/>
      </c>
      <c r="L115" s="50" t="str">
        <f>IF(ISERROR(VLOOKUP(B115,טבלאות!$G:$H,2,0)),"",VLOOKUP(B115,טבלאות!$G:$H,2,0))</f>
        <v/>
      </c>
      <c r="M115" s="51" t="str">
        <f t="shared" si="1"/>
        <v/>
      </c>
    </row>
    <row r="116" spans="1:13">
      <c r="A116" s="108"/>
      <c r="B116" s="108"/>
      <c r="C116" s="108"/>
      <c r="D116" s="119"/>
      <c r="E116" s="108"/>
      <c r="F116" s="108"/>
      <c r="G116" s="108"/>
      <c r="H116" s="108"/>
      <c r="I116" s="109"/>
      <c r="K116" t="str">
        <f>IF(A116&gt;0,VLOOKUP(A116,טבלאות!$J:$K,2,0),"")</f>
        <v/>
      </c>
      <c r="L116" s="50" t="str">
        <f>IF(ISERROR(VLOOKUP(B116,טבלאות!$G:$H,2,0)),"",VLOOKUP(B116,טבלאות!$G:$H,2,0))</f>
        <v/>
      </c>
      <c r="M116" s="51" t="str">
        <f t="shared" si="1"/>
        <v/>
      </c>
    </row>
    <row r="117" spans="1:13">
      <c r="A117" s="108"/>
      <c r="B117" s="108"/>
      <c r="C117" s="108"/>
      <c r="D117" s="119"/>
      <c r="E117" s="108"/>
      <c r="F117" s="108"/>
      <c r="G117" s="108"/>
      <c r="H117" s="108"/>
      <c r="I117" s="109"/>
      <c r="K117" t="str">
        <f>IF(A117&gt;0,VLOOKUP(A117,טבלאות!$J:$K,2,0),"")</f>
        <v/>
      </c>
      <c r="L117" s="50" t="str">
        <f>IF(ISERROR(VLOOKUP(B117,טבלאות!$G:$H,2,0)),"",VLOOKUP(B117,טבלאות!$G:$H,2,0))</f>
        <v/>
      </c>
      <c r="M117" s="51" t="str">
        <f t="shared" si="1"/>
        <v/>
      </c>
    </row>
    <row r="118" spans="1:13">
      <c r="A118" s="108"/>
      <c r="B118" s="108"/>
      <c r="C118" s="108"/>
      <c r="D118" s="119"/>
      <c r="E118" s="108"/>
      <c r="F118" s="108"/>
      <c r="G118" s="108"/>
      <c r="H118" s="108"/>
      <c r="I118" s="109"/>
      <c r="K118" t="str">
        <f>IF(A118&gt;0,VLOOKUP(A118,טבלאות!$J:$K,2,0),"")</f>
        <v/>
      </c>
      <c r="L118" s="50" t="str">
        <f>IF(ISERROR(VLOOKUP(B118,טבלאות!$G:$H,2,0)),"",VLOOKUP(B118,טבלאות!$G:$H,2,0))</f>
        <v/>
      </c>
      <c r="M118" s="51" t="str">
        <f t="shared" si="1"/>
        <v/>
      </c>
    </row>
    <row r="119" spans="1:13">
      <c r="A119" s="108"/>
      <c r="B119" s="108"/>
      <c r="C119" s="108"/>
      <c r="D119" s="119"/>
      <c r="E119" s="108"/>
      <c r="F119" s="108"/>
      <c r="G119" s="108"/>
      <c r="H119" s="108"/>
      <c r="I119" s="109"/>
      <c r="K119" t="str">
        <f>IF(A119&gt;0,VLOOKUP(A119,טבלאות!$J:$K,2,0),"")</f>
        <v/>
      </c>
      <c r="L119" s="50" t="str">
        <f>IF(ISERROR(VLOOKUP(B119,טבלאות!$G:$H,2,0)),"",VLOOKUP(B119,טבלאות!$G:$H,2,0))</f>
        <v/>
      </c>
      <c r="M119" s="51" t="str">
        <f t="shared" si="1"/>
        <v/>
      </c>
    </row>
    <row r="120" spans="1:13">
      <c r="A120" s="108"/>
      <c r="B120" s="108"/>
      <c r="C120" s="108"/>
      <c r="D120" s="119"/>
      <c r="E120" s="108"/>
      <c r="F120" s="108"/>
      <c r="G120" s="108"/>
      <c r="H120" s="108"/>
      <c r="I120" s="109"/>
      <c r="K120" t="str">
        <f>IF(A120&gt;0,VLOOKUP(A120,טבלאות!$J:$K,2,0),"")</f>
        <v/>
      </c>
      <c r="L120" s="50" t="str">
        <f>IF(ISERROR(VLOOKUP(B120,טבלאות!$G:$H,2,0)),"",VLOOKUP(B120,טבלאות!$G:$H,2,0))</f>
        <v/>
      </c>
      <c r="M120" s="51" t="str">
        <f t="shared" si="1"/>
        <v/>
      </c>
    </row>
    <row r="121" spans="1:13">
      <c r="A121" s="108"/>
      <c r="B121" s="108"/>
      <c r="C121" s="108"/>
      <c r="D121" s="109"/>
      <c r="E121" s="108"/>
      <c r="F121" s="108"/>
      <c r="G121" s="108"/>
      <c r="H121" s="108"/>
      <c r="I121" s="109"/>
      <c r="K121" t="str">
        <f>IF(A121&gt;0,VLOOKUP(A121,טבלאות!$J:$K,2,0),"")</f>
        <v/>
      </c>
      <c r="L121" s="50" t="str">
        <f>IF(ISERROR(VLOOKUP(B121,טבלאות!$G:$H,2,0)),"",VLOOKUP(B121,טבלאות!$G:$H,2,0))</f>
        <v/>
      </c>
      <c r="M121" s="51" t="str">
        <f t="shared" si="1"/>
        <v/>
      </c>
    </row>
    <row r="122" spans="1:13">
      <c r="A122" s="108"/>
      <c r="B122" s="108"/>
      <c r="C122" s="108"/>
      <c r="D122" s="109"/>
      <c r="E122" s="108"/>
      <c r="F122" s="108"/>
      <c r="G122" s="108"/>
      <c r="H122" s="108"/>
      <c r="I122" s="109"/>
      <c r="K122" t="str">
        <f>IF(A122&gt;0,VLOOKUP(A122,טבלאות!$J:$K,2,0),"")</f>
        <v/>
      </c>
      <c r="L122" s="50" t="str">
        <f>IF(ISERROR(VLOOKUP(B122,טבלאות!$G:$H,2,0)),"",VLOOKUP(B122,טבלאות!$G:$H,2,0))</f>
        <v/>
      </c>
      <c r="M122" s="51" t="str">
        <f t="shared" si="1"/>
        <v/>
      </c>
    </row>
    <row r="123" spans="1:13">
      <c r="A123" s="108"/>
      <c r="B123" s="108"/>
      <c r="C123" s="108"/>
      <c r="D123" s="109"/>
      <c r="E123" s="108"/>
      <c r="F123" s="108"/>
      <c r="G123" s="108"/>
      <c r="H123" s="108"/>
      <c r="I123" s="109"/>
      <c r="K123" t="str">
        <f>IF(A123&gt;0,VLOOKUP(A123,טבלאות!$J:$K,2,0),"")</f>
        <v/>
      </c>
      <c r="L123" s="50" t="str">
        <f>IF(ISERROR(VLOOKUP(B123,טבלאות!$G:$H,2,0)),"",VLOOKUP(B123,טבלאות!$G:$H,2,0))</f>
        <v/>
      </c>
      <c r="M123" s="51" t="str">
        <f t="shared" si="1"/>
        <v/>
      </c>
    </row>
    <row r="124" spans="1:13">
      <c r="A124" s="108"/>
      <c r="B124" s="108"/>
      <c r="C124" s="108"/>
      <c r="D124" s="109"/>
      <c r="E124" s="108"/>
      <c r="F124" s="108"/>
      <c r="G124" s="108"/>
      <c r="H124" s="108"/>
      <c r="I124" s="109"/>
      <c r="K124" t="str">
        <f>IF(A124&gt;0,VLOOKUP(A124,טבלאות!$J:$K,2,0),"")</f>
        <v/>
      </c>
      <c r="L124" s="50" t="str">
        <f>IF(ISERROR(VLOOKUP(B124,טבלאות!$G:$H,2,0)),"",VLOOKUP(B124,טבלאות!$G:$H,2,0))</f>
        <v/>
      </c>
      <c r="M124" s="51" t="str">
        <f t="shared" si="1"/>
        <v/>
      </c>
    </row>
    <row r="125" spans="1:13">
      <c r="A125" s="108"/>
      <c r="B125" s="108"/>
      <c r="C125" s="108"/>
      <c r="D125" s="109"/>
      <c r="E125" s="108"/>
      <c r="F125" s="108"/>
      <c r="G125" s="108"/>
      <c r="H125" s="108"/>
      <c r="I125" s="109"/>
      <c r="K125" t="str">
        <f>IF(A125&gt;0,VLOOKUP(A125,טבלאות!$J:$K,2,0),"")</f>
        <v/>
      </c>
      <c r="L125" s="50" t="str">
        <f>IF(ISERROR(VLOOKUP(B125,טבלאות!$G:$H,2,0)),"",VLOOKUP(B125,טבלאות!$G:$H,2,0))</f>
        <v/>
      </c>
      <c r="M125" s="51" t="str">
        <f t="shared" si="1"/>
        <v/>
      </c>
    </row>
    <row r="126" spans="1:13">
      <c r="A126" s="108"/>
      <c r="B126" s="108"/>
      <c r="C126" s="108"/>
      <c r="D126" s="109"/>
      <c r="E126" s="108"/>
      <c r="F126" s="108"/>
      <c r="G126" s="108"/>
      <c r="H126" s="108"/>
      <c r="I126" s="109"/>
      <c r="K126" t="str">
        <f>IF(A126&gt;0,VLOOKUP(A126,טבלאות!$J:$K,2,0),"")</f>
        <v/>
      </c>
      <c r="L126" s="50" t="str">
        <f>IF(ISERROR(VLOOKUP(B126,טבלאות!$G:$H,2,0)),"",VLOOKUP(B126,טבלאות!$G:$H,2,0))</f>
        <v/>
      </c>
      <c r="M126" s="51" t="str">
        <f t="shared" si="1"/>
        <v/>
      </c>
    </row>
    <row r="127" spans="1:13">
      <c r="A127" s="108"/>
      <c r="B127" s="108"/>
      <c r="C127" s="108"/>
      <c r="D127" s="109"/>
      <c r="E127" s="108"/>
      <c r="F127" s="108"/>
      <c r="G127" s="108"/>
      <c r="H127" s="108"/>
      <c r="I127" s="109"/>
      <c r="K127" t="str">
        <f>IF(A127&gt;0,VLOOKUP(A127,טבלאות!$J:$K,2,0),"")</f>
        <v/>
      </c>
      <c r="L127" s="50" t="str">
        <f>IF(ISERROR(VLOOKUP(B127,טבלאות!$G:$H,2,0)),"",VLOOKUP(B127,טבלאות!$G:$H,2,0))</f>
        <v/>
      </c>
      <c r="M127" s="51" t="str">
        <f t="shared" si="1"/>
        <v/>
      </c>
    </row>
    <row r="128" spans="1:13">
      <c r="A128" s="108"/>
      <c r="B128" s="108"/>
      <c r="C128" s="108"/>
      <c r="D128" s="109"/>
      <c r="E128" s="108"/>
      <c r="F128" s="108"/>
      <c r="G128" s="108"/>
      <c r="H128" s="108"/>
      <c r="I128" s="109"/>
      <c r="K128" t="str">
        <f>IF(A128&gt;0,VLOOKUP(A128,טבלאות!$J:$K,2,0),"")</f>
        <v/>
      </c>
      <c r="L128" s="50" t="str">
        <f>IF(ISERROR(VLOOKUP(B128,טבלאות!$G:$H,2,0)),"",VLOOKUP(B128,טבלאות!$G:$H,2,0))</f>
        <v/>
      </c>
      <c r="M128" s="51" t="str">
        <f t="shared" si="1"/>
        <v/>
      </c>
    </row>
    <row r="129" spans="1:13">
      <c r="A129" s="108"/>
      <c r="B129" s="108"/>
      <c r="C129" s="108"/>
      <c r="D129" s="109"/>
      <c r="E129" s="108"/>
      <c r="F129" s="108"/>
      <c r="G129" s="108"/>
      <c r="H129" s="108"/>
      <c r="I129" s="109"/>
      <c r="K129" t="str">
        <f>IF(A129&gt;0,VLOOKUP(A129,טבלאות!$J:$K,2,0),"")</f>
        <v/>
      </c>
      <c r="L129" s="50" t="str">
        <f>IF(ISERROR(VLOOKUP(B129,טבלאות!$G:$H,2,0)),"",VLOOKUP(B129,טבלאות!$G:$H,2,0))</f>
        <v/>
      </c>
      <c r="M129" s="51" t="str">
        <f t="shared" si="1"/>
        <v/>
      </c>
    </row>
    <row r="130" spans="1:13">
      <c r="A130" s="108"/>
      <c r="B130" s="108"/>
      <c r="C130" s="108"/>
      <c r="D130" s="109"/>
      <c r="E130" s="108"/>
      <c r="F130" s="108"/>
      <c r="G130" s="108"/>
      <c r="H130" s="108"/>
      <c r="I130" s="109"/>
      <c r="K130" t="str">
        <f>IF(A130&gt;0,VLOOKUP(A130,טבלאות!$J:$K,2,0),"")</f>
        <v/>
      </c>
      <c r="L130" s="50" t="str">
        <f>IF(ISERROR(VLOOKUP(B130,טבלאות!$G:$H,2,0)),"",VLOOKUP(B130,טבלאות!$G:$H,2,0))</f>
        <v/>
      </c>
      <c r="M130" s="51" t="str">
        <f t="shared" ref="M130:M143" si="2">IF(OR(L130="",L130="?"),"",IF(L130&gt;0,I130,""))</f>
        <v/>
      </c>
    </row>
    <row r="131" spans="1:13">
      <c r="A131" s="108"/>
      <c r="B131" s="108"/>
      <c r="C131" s="108"/>
      <c r="D131" s="109"/>
      <c r="E131" s="108"/>
      <c r="F131" s="108"/>
      <c r="G131" s="108"/>
      <c r="H131" s="108"/>
      <c r="I131" s="109"/>
      <c r="K131" t="str">
        <f>IF(A131&gt;0,VLOOKUP(A131,טבלאות!$J:$K,2,0),"")</f>
        <v/>
      </c>
      <c r="L131" s="50" t="str">
        <f>IF(ISERROR(VLOOKUP(B131,טבלאות!$G:$H,2,0)),"",VLOOKUP(B131,טבלאות!$G:$H,2,0))</f>
        <v/>
      </c>
      <c r="M131" s="51" t="str">
        <f t="shared" si="2"/>
        <v/>
      </c>
    </row>
    <row r="132" spans="1:13">
      <c r="A132" s="108"/>
      <c r="B132" s="108"/>
      <c r="C132" s="108"/>
      <c r="D132" s="109"/>
      <c r="E132" s="108"/>
      <c r="F132" s="108"/>
      <c r="G132" s="108"/>
      <c r="H132" s="108"/>
      <c r="I132" s="109"/>
      <c r="K132" t="str">
        <f>IF(A132&gt;0,VLOOKUP(A132,טבלאות!$J:$K,2,0),"")</f>
        <v/>
      </c>
      <c r="L132" s="50" t="str">
        <f>IF(ISERROR(VLOOKUP(B132,טבלאות!$G:$H,2,0)),"",VLOOKUP(B132,טבלאות!$G:$H,2,0))</f>
        <v/>
      </c>
      <c r="M132" s="51" t="str">
        <f t="shared" si="2"/>
        <v/>
      </c>
    </row>
    <row r="133" spans="1:13">
      <c r="A133" s="108"/>
      <c r="B133" s="108"/>
      <c r="C133" s="108"/>
      <c r="D133" s="109"/>
      <c r="E133" s="108"/>
      <c r="F133" s="108"/>
      <c r="G133" s="108"/>
      <c r="H133" s="108"/>
      <c r="I133" s="109"/>
      <c r="K133" t="str">
        <f>IF(A133&gt;0,VLOOKUP(A133,טבלאות!$J:$K,2,0),"")</f>
        <v/>
      </c>
      <c r="L133" s="50" t="str">
        <f>IF(ISERROR(VLOOKUP(B133,טבלאות!$G:$H,2,0)),"",VLOOKUP(B133,טבלאות!$G:$H,2,0))</f>
        <v/>
      </c>
      <c r="M133" s="51" t="str">
        <f t="shared" si="2"/>
        <v/>
      </c>
    </row>
    <row r="134" spans="1:13">
      <c r="A134" s="108"/>
      <c r="B134" s="108"/>
      <c r="C134" s="108"/>
      <c r="D134" s="109"/>
      <c r="E134" s="108"/>
      <c r="F134" s="108"/>
      <c r="G134" s="108"/>
      <c r="H134" s="108"/>
      <c r="I134" s="109"/>
      <c r="K134" t="str">
        <f>IF(A134&gt;0,VLOOKUP(A134,טבלאות!$J:$K,2,0),"")</f>
        <v/>
      </c>
      <c r="L134" s="50" t="str">
        <f>IF(ISERROR(VLOOKUP(B134,טבלאות!$G:$H,2,0)),"",VLOOKUP(B134,טבלאות!$G:$H,2,0))</f>
        <v/>
      </c>
      <c r="M134" s="51" t="str">
        <f t="shared" si="2"/>
        <v/>
      </c>
    </row>
    <row r="135" spans="1:13">
      <c r="A135" s="108"/>
      <c r="B135" s="108"/>
      <c r="C135" s="108"/>
      <c r="D135" s="109"/>
      <c r="E135" s="108"/>
      <c r="F135" s="108"/>
      <c r="G135" s="108"/>
      <c r="H135" s="108"/>
      <c r="I135" s="109"/>
      <c r="K135" t="str">
        <f>IF(A135&gt;0,VLOOKUP(A135,טבלאות!$J:$K,2,0),"")</f>
        <v/>
      </c>
      <c r="L135" s="50" t="str">
        <f>IF(ISERROR(VLOOKUP(B135,טבלאות!$G:$H,2,0)),"",VLOOKUP(B135,טבלאות!$G:$H,2,0))</f>
        <v/>
      </c>
      <c r="M135" s="51" t="str">
        <f t="shared" si="2"/>
        <v/>
      </c>
    </row>
    <row r="136" spans="1:13">
      <c r="A136" s="108"/>
      <c r="B136" s="108"/>
      <c r="C136" s="108"/>
      <c r="D136" s="109"/>
      <c r="E136" s="108"/>
      <c r="F136" s="108"/>
      <c r="G136" s="108"/>
      <c r="H136" s="108"/>
      <c r="I136" s="109"/>
      <c r="K136" t="str">
        <f>IF(A136&gt;0,VLOOKUP(A136,טבלאות!$J:$K,2,0),"")</f>
        <v/>
      </c>
      <c r="L136" s="50" t="str">
        <f>IF(ISERROR(VLOOKUP(B136,טבלאות!$G:$H,2,0)),"",VLOOKUP(B136,טבלאות!$G:$H,2,0))</f>
        <v/>
      </c>
      <c r="M136" s="51" t="str">
        <f t="shared" si="2"/>
        <v/>
      </c>
    </row>
    <row r="137" spans="1:13">
      <c r="A137" s="108"/>
      <c r="B137" s="108"/>
      <c r="C137" s="108"/>
      <c r="D137" s="109"/>
      <c r="E137" s="108"/>
      <c r="F137" s="108"/>
      <c r="G137" s="108"/>
      <c r="H137" s="108"/>
      <c r="I137" s="109"/>
      <c r="K137" t="str">
        <f>IF(A137&gt;0,VLOOKUP(A137,טבלאות!$J:$K,2,0),"")</f>
        <v/>
      </c>
      <c r="L137" s="50" t="str">
        <f>IF(ISERROR(VLOOKUP(B137,טבלאות!$G:$H,2,0)),"",VLOOKUP(B137,טבלאות!$G:$H,2,0))</f>
        <v/>
      </c>
      <c r="M137" s="51" t="str">
        <f t="shared" si="2"/>
        <v/>
      </c>
    </row>
    <row r="138" spans="1:13">
      <c r="A138" s="108"/>
      <c r="B138" s="108"/>
      <c r="C138" s="108"/>
      <c r="D138" s="109"/>
      <c r="E138" s="108"/>
      <c r="F138" s="108"/>
      <c r="G138" s="108"/>
      <c r="H138" s="108"/>
      <c r="I138" s="109"/>
      <c r="K138" t="str">
        <f>IF(A138&gt;0,VLOOKUP(A138,טבלאות!$J:$K,2,0),"")</f>
        <v/>
      </c>
      <c r="L138" s="50" t="str">
        <f>IF(ISERROR(VLOOKUP(B138,טבלאות!$G:$H,2,0)),"",VLOOKUP(B138,טבלאות!$G:$H,2,0))</f>
        <v/>
      </c>
      <c r="M138" s="51" t="str">
        <f t="shared" si="2"/>
        <v/>
      </c>
    </row>
    <row r="139" spans="1:13">
      <c r="A139" s="108"/>
      <c r="B139" s="108"/>
      <c r="C139" s="108"/>
      <c r="D139" s="109"/>
      <c r="E139" s="108"/>
      <c r="F139" s="108"/>
      <c r="G139" s="108"/>
      <c r="H139" s="108"/>
      <c r="I139" s="109"/>
      <c r="K139" t="str">
        <f>IF(A139&gt;0,VLOOKUP(A139,טבלאות!$J:$K,2,0),"")</f>
        <v/>
      </c>
      <c r="L139" s="50" t="str">
        <f>IF(ISERROR(VLOOKUP(B139,טבלאות!$G:$H,2,0)),"",VLOOKUP(B139,טבלאות!$G:$H,2,0))</f>
        <v/>
      </c>
      <c r="M139" s="51" t="str">
        <f t="shared" si="2"/>
        <v/>
      </c>
    </row>
    <row r="140" spans="1:13">
      <c r="A140" s="108"/>
      <c r="B140" s="108"/>
      <c r="C140" s="108"/>
      <c r="D140" s="109"/>
      <c r="E140" s="108"/>
      <c r="F140" s="108"/>
      <c r="G140" s="108"/>
      <c r="H140" s="108"/>
      <c r="I140" s="109"/>
      <c r="K140" t="str">
        <f>IF(A140&gt;0,VLOOKUP(A140,טבלאות!$J:$K,2,0),"")</f>
        <v/>
      </c>
      <c r="L140" s="50" t="str">
        <f>IF(ISERROR(VLOOKUP(B140,טבלאות!$G:$H,2,0)),"",VLOOKUP(B140,טבלאות!$G:$H,2,0))</f>
        <v/>
      </c>
      <c r="M140" s="51" t="str">
        <f t="shared" si="2"/>
        <v/>
      </c>
    </row>
    <row r="141" spans="1:13">
      <c r="A141" s="108"/>
      <c r="B141" s="108"/>
      <c r="C141" s="108"/>
      <c r="D141" s="110"/>
      <c r="E141" s="108"/>
      <c r="F141" s="108"/>
      <c r="G141" s="108"/>
      <c r="H141" s="108"/>
      <c r="I141" s="109"/>
      <c r="K141" t="str">
        <f>IF(A141&gt;0,VLOOKUP(A141,טבלאות!$J:$K,2,0),"")</f>
        <v/>
      </c>
      <c r="L141" s="50" t="str">
        <f>IF(ISERROR(VLOOKUP(B141,טבלאות!$G:$H,2,0)),"",VLOOKUP(B141,טבלאות!$G:$H,2,0))</f>
        <v/>
      </c>
      <c r="M141" s="51" t="str">
        <f t="shared" si="2"/>
        <v/>
      </c>
    </row>
    <row r="142" spans="1:13">
      <c r="A142" s="108"/>
      <c r="B142" s="108"/>
      <c r="C142" s="108"/>
      <c r="D142" s="109"/>
      <c r="E142" s="108"/>
      <c r="F142" s="108"/>
      <c r="G142" s="108"/>
      <c r="H142" s="108"/>
      <c r="I142" s="109"/>
      <c r="K142" t="str">
        <f>IF(A142&gt;0,VLOOKUP(A142,טבלאות!$J:$K,2,0),"")</f>
        <v/>
      </c>
      <c r="L142" s="50" t="str">
        <f>IF(ISERROR(VLOOKUP(B142,טבלאות!$G:$H,2,0)),"",VLOOKUP(B142,טבלאות!$G:$H,2,0))</f>
        <v/>
      </c>
      <c r="M142" s="51" t="str">
        <f t="shared" si="2"/>
        <v/>
      </c>
    </row>
    <row r="143" spans="1:13">
      <c r="A143" s="108"/>
      <c r="B143" s="108"/>
      <c r="C143" s="108"/>
      <c r="D143" s="109"/>
      <c r="E143" s="108"/>
      <c r="F143" s="108"/>
      <c r="G143" s="108"/>
      <c r="H143" s="108"/>
      <c r="I143" s="109"/>
      <c r="K143" t="str">
        <f>IF(A143&gt;0,VLOOKUP(A143,טבלאות!$J:$K,2,0),"")</f>
        <v/>
      </c>
      <c r="L143" s="50" t="str">
        <f>IF(ISERROR(VLOOKUP(B143,טבלאות!$G:$H,2,0)),"",VLOOKUP(B143,טבלאות!$G:$H,2,0))</f>
        <v/>
      </c>
      <c r="M143" s="51" t="str">
        <f t="shared" si="2"/>
        <v/>
      </c>
    </row>
  </sheetData>
  <autoFilter ref="A1:N143" xr:uid="{00000000-0009-0000-0000-00000B000000}"/>
  <conditionalFormatting sqref="L2:L143">
    <cfRule type="cellIs" dxfId="4" priority="1" operator="equal">
      <formula>""</formula>
    </cfRule>
  </conditionalFormatting>
  <dataValidations count="2">
    <dataValidation type="list" allowBlank="1" showInputMessage="1" showErrorMessage="1" sqref="L2:L143" xr:uid="{1AD4504D-05CA-47EF-8E9F-C3D34E807885}">
      <formula1>סוגי_הוצאות</formula1>
    </dataValidation>
    <dataValidation type="list" allowBlank="1" showInputMessage="1" showErrorMessage="1" sqref="K2:K143" xr:uid="{FF4D7645-565B-444F-9ED5-8E4AA64C5CE8}">
      <formula1>סוג_כרטיס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G113"/>
  <sheetViews>
    <sheetView rightToLeft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B69" sqref="B69:C77"/>
    </sheetView>
  </sheetViews>
  <sheetFormatPr defaultRowHeight="15"/>
  <cols>
    <col min="1" max="1" width="16.42578125" customWidth="1"/>
    <col min="2" max="2" width="23.28515625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1" max="11" width="12.140625" style="73" customWidth="1"/>
    <col min="12" max="12" width="17" style="73" bestFit="1" customWidth="1"/>
    <col min="13" max="13" width="9.140625" style="73"/>
    <col min="14" max="14" width="15.140625" bestFit="1" customWidth="1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>
      <c r="A2" s="121"/>
      <c r="B2" s="121"/>
      <c r="C2" s="121"/>
      <c r="D2" s="122"/>
      <c r="E2" s="121"/>
      <c r="F2" s="121"/>
      <c r="G2" s="121"/>
      <c r="H2" s="121"/>
      <c r="I2" s="122"/>
      <c r="J2" s="102"/>
      <c r="K2" t="str">
        <f>IF(A2&gt;0,VLOOKUP(A2,טבלאות!$J:$K,2,0),"")</f>
        <v/>
      </c>
      <c r="L2" s="50" t="str">
        <f>IF(ISERROR(VLOOKUP(B2,טבלאות!$G:$H,2,0)),"",VLOOKUP(B2,טבלאות!$G:$H,2,0))</f>
        <v/>
      </c>
      <c r="M2" s="51" t="str">
        <f t="shared" ref="M2:M65" si="0">IF(OR(L2="",L2="?"),"",IF(L2&gt;0,I2,""))</f>
        <v/>
      </c>
    </row>
    <row r="3" spans="1:111" s="36" customFormat="1" ht="19.5" customHeight="1">
      <c r="A3" s="121"/>
      <c r="B3" s="121"/>
      <c r="C3" s="121"/>
      <c r="D3" s="122"/>
      <c r="E3" s="121"/>
      <c r="F3" s="121"/>
      <c r="G3" s="121"/>
      <c r="H3" s="121"/>
      <c r="I3" s="122"/>
      <c r="J3" s="102"/>
      <c r="K3" t="str">
        <f>IF(A3&gt;0,VLOOKUP(A3,טבלאות!$J:$K,2,0),"")</f>
        <v/>
      </c>
      <c r="L3" s="50" t="str">
        <f>IF(ISERROR(VLOOKUP(B3,טבלאות!$G:$H,2,0)),"",VLOOKUP(B3,טבלאות!$G:$H,2,0))</f>
        <v/>
      </c>
      <c r="M3" s="51" t="str">
        <f t="shared" si="0"/>
        <v/>
      </c>
    </row>
    <row r="4" spans="1:111" ht="15" customHeight="1">
      <c r="A4" s="121"/>
      <c r="B4" s="121"/>
      <c r="C4" s="121"/>
      <c r="D4" s="122"/>
      <c r="E4" s="121"/>
      <c r="F4" s="121"/>
      <c r="G4" s="121"/>
      <c r="H4" s="121"/>
      <c r="I4" s="122"/>
      <c r="J4" s="102"/>
      <c r="K4" t="str">
        <f>IF(A4&gt;0,VLOOKUP(A4,טבלאות!$J:$K,2,0),"")</f>
        <v/>
      </c>
      <c r="L4" s="50" t="str">
        <f>IF(ISERROR(VLOOKUP(B4,טבלאות!$G:$H,2,0)),"",VLOOKUP(B4,טבלאות!$G:$H,2,0))</f>
        <v/>
      </c>
      <c r="M4" s="51" t="str">
        <f t="shared" si="0"/>
        <v/>
      </c>
    </row>
    <row r="5" spans="1:111" ht="15" customHeight="1">
      <c r="A5" s="121"/>
      <c r="B5" s="121"/>
      <c r="C5" s="121"/>
      <c r="D5" s="122"/>
      <c r="E5" s="121"/>
      <c r="F5" s="121"/>
      <c r="G5" s="121"/>
      <c r="H5" s="121"/>
      <c r="I5" s="122"/>
      <c r="J5" s="102"/>
      <c r="K5" t="str">
        <f>IF(A5&gt;0,VLOOKUP(A5,טבלאות!$J:$K,2,0),"")</f>
        <v/>
      </c>
      <c r="L5" s="50" t="str">
        <f>IF(ISERROR(VLOOKUP(B5,טבלאות!$G:$H,2,0)),"",VLOOKUP(B5,טבלאות!$G:$H,2,0))</f>
        <v/>
      </c>
      <c r="M5" s="51" t="str">
        <f t="shared" si="0"/>
        <v/>
      </c>
    </row>
    <row r="6" spans="1:111" ht="20.25" customHeight="1">
      <c r="A6" s="121"/>
      <c r="B6" s="121"/>
      <c r="C6" s="121"/>
      <c r="D6" s="122"/>
      <c r="E6" s="121"/>
      <c r="F6" s="121"/>
      <c r="G6" s="121"/>
      <c r="H6" s="121"/>
      <c r="I6" s="122"/>
      <c r="J6" s="102"/>
      <c r="K6" t="str">
        <f>IF(A6&gt;0,VLOOKUP(A6,טבלאות!$J:$K,2,0),"")</f>
        <v/>
      </c>
      <c r="L6" s="50" t="str">
        <f>IF(ISERROR(VLOOKUP(B6,טבלאות!$G:$H,2,0)),"",VLOOKUP(B6,טבלאות!$G:$H,2,0))</f>
        <v/>
      </c>
      <c r="M6" s="51" t="str">
        <f t="shared" si="0"/>
        <v/>
      </c>
    </row>
    <row r="7" spans="1:111" ht="15.75" customHeight="1">
      <c r="A7" s="121"/>
      <c r="B7" s="121"/>
      <c r="C7" s="121"/>
      <c r="D7" s="122"/>
      <c r="E7" s="121"/>
      <c r="F7" s="121"/>
      <c r="G7" s="121"/>
      <c r="H7" s="121"/>
      <c r="I7" s="122"/>
      <c r="J7" s="102"/>
      <c r="K7" t="str">
        <f>IF(A7&gt;0,VLOOKUP(A7,טבלאות!$J:$K,2,0),"")</f>
        <v/>
      </c>
      <c r="L7" s="50" t="str">
        <f>IF(ISERROR(VLOOKUP(B7,טבלאות!$G:$H,2,0)),"",VLOOKUP(B7,טבלאות!$G:$H,2,0))</f>
        <v/>
      </c>
      <c r="M7" s="51" t="str">
        <f t="shared" si="0"/>
        <v/>
      </c>
    </row>
    <row r="8" spans="1:111" ht="15" customHeight="1">
      <c r="A8" s="121"/>
      <c r="B8" s="121"/>
      <c r="C8" s="121"/>
      <c r="D8" s="122"/>
      <c r="E8" s="121"/>
      <c r="F8" s="121"/>
      <c r="G8" s="121"/>
      <c r="H8" s="121"/>
      <c r="I8" s="122"/>
      <c r="J8" s="102"/>
      <c r="K8" t="str">
        <f>IF(A8&gt;0,VLOOKUP(A8,טבלאות!$J:$K,2,0),"")</f>
        <v/>
      </c>
      <c r="L8" s="50" t="str">
        <f>IF(ISERROR(VLOOKUP(B8,טבלאות!$G:$H,2,0)),"",VLOOKUP(B8,טבלאות!$G:$H,2,0))</f>
        <v/>
      </c>
      <c r="M8" s="51" t="str">
        <f t="shared" si="0"/>
        <v/>
      </c>
    </row>
    <row r="9" spans="1:111" ht="15" customHeight="1">
      <c r="A9" s="121"/>
      <c r="B9" s="121"/>
      <c r="C9" s="121"/>
      <c r="D9" s="122"/>
      <c r="E9" s="121"/>
      <c r="F9" s="121"/>
      <c r="G9" s="121"/>
      <c r="H9" s="121"/>
      <c r="I9" s="122"/>
      <c r="J9" s="102"/>
      <c r="K9" t="str">
        <f>IF(A9&gt;0,VLOOKUP(A9,טבלאות!$J:$K,2,0),"")</f>
        <v/>
      </c>
      <c r="L9" s="50" t="str">
        <f>IF(ISERROR(VLOOKUP(B9,טבלאות!$G:$H,2,0)),"",VLOOKUP(B9,טבלאות!$G:$H,2,0))</f>
        <v/>
      </c>
      <c r="M9" s="51" t="str">
        <f t="shared" si="0"/>
        <v/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>
      <c r="A10" s="121"/>
      <c r="B10" s="121"/>
      <c r="C10" s="121"/>
      <c r="D10" s="122"/>
      <c r="E10" s="121"/>
      <c r="F10" s="121"/>
      <c r="G10" s="121"/>
      <c r="H10" s="121"/>
      <c r="I10" s="122"/>
      <c r="J10" s="102"/>
      <c r="K10" t="str">
        <f>IF(A10&gt;0,VLOOKUP(A10,טבלאות!$J:$K,2,0),"")</f>
        <v/>
      </c>
      <c r="L10" s="50" t="str">
        <f>IF(ISERROR(VLOOKUP(B10,טבלאות!$G:$H,2,0)),"",VLOOKUP(B10,טבלאות!$G:$H,2,0))</f>
        <v/>
      </c>
      <c r="M10" s="51" t="str">
        <f t="shared" si="0"/>
        <v/>
      </c>
    </row>
    <row r="11" spans="1:111">
      <c r="A11" s="121"/>
      <c r="B11" s="121"/>
      <c r="C11" s="121"/>
      <c r="D11" s="122"/>
      <c r="E11" s="121"/>
      <c r="F11" s="121"/>
      <c r="G11" s="121"/>
      <c r="H11" s="121"/>
      <c r="I11" s="122"/>
      <c r="J11" s="102"/>
      <c r="K11" t="str">
        <f>IF(A11&gt;0,VLOOKUP(A11,טבלאות!$J:$K,2,0),"")</f>
        <v/>
      </c>
      <c r="L11" s="50" t="str">
        <f>IF(ISERROR(VLOOKUP(B11,טבלאות!$G:$H,2,0)),"",VLOOKUP(B11,טבלאות!$G:$H,2,0))</f>
        <v/>
      </c>
      <c r="M11" s="51" t="str">
        <f t="shared" si="0"/>
        <v/>
      </c>
    </row>
    <row r="12" spans="1:111">
      <c r="A12" s="121"/>
      <c r="B12" s="121"/>
      <c r="C12" s="121"/>
      <c r="D12" s="122"/>
      <c r="E12" s="121"/>
      <c r="F12" s="121"/>
      <c r="G12" s="121"/>
      <c r="H12" s="121"/>
      <c r="I12" s="122"/>
      <c r="J12" s="102"/>
      <c r="K12" t="str">
        <f>IF(A12&gt;0,VLOOKUP(A12,טבלאות!$J:$K,2,0),"")</f>
        <v/>
      </c>
      <c r="L12" s="50" t="str">
        <f>IF(ISERROR(VLOOKUP(B12,טבלאות!$G:$H,2,0)),"",VLOOKUP(B12,טבלאות!$G:$H,2,0))</f>
        <v/>
      </c>
      <c r="M12" s="51" t="str">
        <f t="shared" si="0"/>
        <v/>
      </c>
    </row>
    <row r="13" spans="1:111">
      <c r="A13" s="121"/>
      <c r="B13" s="121"/>
      <c r="C13" s="121"/>
      <c r="D13" s="122"/>
      <c r="E13" s="121"/>
      <c r="F13" s="121"/>
      <c r="G13" s="121"/>
      <c r="H13" s="121"/>
      <c r="I13" s="122"/>
      <c r="J13" s="102"/>
      <c r="K13" t="str">
        <f>IF(A13&gt;0,VLOOKUP(A13,טבלאות!$J:$K,2,0),"")</f>
        <v/>
      </c>
      <c r="L13" s="50" t="str">
        <f>IF(ISERROR(VLOOKUP(B13,טבלאות!$G:$H,2,0)),"",VLOOKUP(B13,טבלאות!$G:$H,2,0))</f>
        <v/>
      </c>
      <c r="M13" s="51" t="str">
        <f t="shared" si="0"/>
        <v/>
      </c>
    </row>
    <row r="14" spans="1:111">
      <c r="A14" s="121"/>
      <c r="B14" s="121"/>
      <c r="C14" s="121"/>
      <c r="D14" s="122"/>
      <c r="E14" s="121"/>
      <c r="F14" s="121"/>
      <c r="G14" s="121"/>
      <c r="H14" s="121"/>
      <c r="I14" s="122"/>
      <c r="J14" s="102"/>
      <c r="K14" t="str">
        <f>IF(A14&gt;0,VLOOKUP(A14,טבלאות!$J:$K,2,0),"")</f>
        <v/>
      </c>
      <c r="L14" s="50" t="str">
        <f>IF(ISERROR(VLOOKUP(B14,טבלאות!$G:$H,2,0)),"",VLOOKUP(B14,טבלאות!$G:$H,2,0))</f>
        <v/>
      </c>
      <c r="M14" s="51" t="str">
        <f t="shared" si="0"/>
        <v/>
      </c>
    </row>
    <row r="15" spans="1:111">
      <c r="A15" s="121"/>
      <c r="B15" s="121"/>
      <c r="C15" s="121"/>
      <c r="D15" s="122"/>
      <c r="E15" s="121"/>
      <c r="F15" s="121"/>
      <c r="G15" s="121"/>
      <c r="H15" s="121"/>
      <c r="I15" s="122"/>
      <c r="J15" s="102"/>
      <c r="K15" t="str">
        <f>IF(A15&gt;0,VLOOKUP(A15,טבלאות!$J:$K,2,0),"")</f>
        <v/>
      </c>
      <c r="L15" s="50" t="str">
        <f>IF(ISERROR(VLOOKUP(B15,טבלאות!$G:$H,2,0)),"",VLOOKUP(B15,טבלאות!$G:$H,2,0))</f>
        <v/>
      </c>
      <c r="M15" s="51" t="str">
        <f t="shared" si="0"/>
        <v/>
      </c>
    </row>
    <row r="16" spans="1:111">
      <c r="A16" s="121"/>
      <c r="B16" s="121"/>
      <c r="C16" s="121"/>
      <c r="D16" s="122"/>
      <c r="E16" s="121"/>
      <c r="F16" s="121"/>
      <c r="G16" s="121"/>
      <c r="H16" s="121"/>
      <c r="I16" s="122"/>
      <c r="J16" s="102"/>
      <c r="K16" t="str">
        <f>IF(A16&gt;0,VLOOKUP(A16,טבלאות!$J:$K,2,0),"")</f>
        <v/>
      </c>
      <c r="L16" s="50" t="str">
        <f>IF(ISERROR(VLOOKUP(B16,טבלאות!$G:$H,2,0)),"",VLOOKUP(B16,טבלאות!$G:$H,2,0))</f>
        <v/>
      </c>
      <c r="M16" s="51" t="str">
        <f t="shared" si="0"/>
        <v/>
      </c>
    </row>
    <row r="17" spans="1:13">
      <c r="A17" s="121"/>
      <c r="B17" s="121"/>
      <c r="C17" s="121"/>
      <c r="D17" s="122"/>
      <c r="E17" s="121"/>
      <c r="F17" s="121"/>
      <c r="G17" s="121"/>
      <c r="H17" s="121"/>
      <c r="I17" s="122"/>
      <c r="J17" s="102"/>
      <c r="K17" t="str">
        <f>IF(A17&gt;0,VLOOKUP(A17,טבלאות!$J:$K,2,0),"")</f>
        <v/>
      </c>
      <c r="L17" s="50" t="str">
        <f>IF(ISERROR(VLOOKUP(B17,טבלאות!$G:$H,2,0)),"",VLOOKUP(B17,טבלאות!$G:$H,2,0))</f>
        <v/>
      </c>
      <c r="M17" s="51" t="str">
        <f t="shared" si="0"/>
        <v/>
      </c>
    </row>
    <row r="18" spans="1:13">
      <c r="A18" s="121"/>
      <c r="B18" s="121"/>
      <c r="C18" s="121"/>
      <c r="D18" s="122"/>
      <c r="E18" s="121"/>
      <c r="F18" s="121"/>
      <c r="G18" s="121"/>
      <c r="H18" s="121"/>
      <c r="I18" s="122"/>
      <c r="J18" s="102"/>
      <c r="K18" t="str">
        <f>IF(A18&gt;0,VLOOKUP(A18,טבלאות!$J:$K,2,0),"")</f>
        <v/>
      </c>
      <c r="L18" s="50" t="str">
        <f>IF(ISERROR(VLOOKUP(B18,טבלאות!$G:$H,2,0)),"",VLOOKUP(B18,טבלאות!$G:$H,2,0))</f>
        <v/>
      </c>
      <c r="M18" s="51" t="str">
        <f t="shared" si="0"/>
        <v/>
      </c>
    </row>
    <row r="19" spans="1:13">
      <c r="A19" s="121"/>
      <c r="B19" s="121"/>
      <c r="C19" s="121"/>
      <c r="D19" s="122"/>
      <c r="E19" s="121"/>
      <c r="F19" s="121"/>
      <c r="G19" s="121"/>
      <c r="H19" s="121"/>
      <c r="I19" s="122"/>
      <c r="J19" s="102"/>
      <c r="K19" t="str">
        <f>IF(A19&gt;0,VLOOKUP(A19,טבלאות!$J:$K,2,0),"")</f>
        <v/>
      </c>
      <c r="L19" s="50" t="str">
        <f>IF(ISERROR(VLOOKUP(B19,טבלאות!$G:$H,2,0)),"",VLOOKUP(B19,טבלאות!$G:$H,2,0))</f>
        <v/>
      </c>
      <c r="M19" s="51" t="str">
        <f t="shared" si="0"/>
        <v/>
      </c>
    </row>
    <row r="20" spans="1:13">
      <c r="A20" s="121"/>
      <c r="B20" s="121"/>
      <c r="C20" s="121"/>
      <c r="D20" s="122"/>
      <c r="E20" s="121"/>
      <c r="F20" s="121"/>
      <c r="G20" s="121"/>
      <c r="H20" s="121"/>
      <c r="I20" s="122"/>
      <c r="J20" s="102"/>
      <c r="K20" t="str">
        <f>IF(A20&gt;0,VLOOKUP(A20,טבלאות!$J:$K,2,0),"")</f>
        <v/>
      </c>
      <c r="L20" s="50" t="str">
        <f>IF(ISERROR(VLOOKUP(B20,טבלאות!$G:$H,2,0)),"",VLOOKUP(B20,טבלאות!$G:$H,2,0))</f>
        <v/>
      </c>
      <c r="M20" s="51" t="str">
        <f t="shared" si="0"/>
        <v/>
      </c>
    </row>
    <row r="21" spans="1:13">
      <c r="A21" s="121"/>
      <c r="B21" s="121"/>
      <c r="C21" s="121"/>
      <c r="D21" s="122"/>
      <c r="E21" s="121"/>
      <c r="F21" s="121"/>
      <c r="G21" s="121"/>
      <c r="H21" s="121"/>
      <c r="I21" s="122"/>
      <c r="J21" s="102"/>
      <c r="K21" t="str">
        <f>IF(A21&gt;0,VLOOKUP(A21,טבלאות!$J:$K,2,0),"")</f>
        <v/>
      </c>
      <c r="L21" s="50" t="str">
        <f>IF(ISERROR(VLOOKUP(B21,טבלאות!$G:$H,2,0)),"",VLOOKUP(B21,טבלאות!$G:$H,2,0))</f>
        <v/>
      </c>
      <c r="M21" s="51" t="str">
        <f t="shared" si="0"/>
        <v/>
      </c>
    </row>
    <row r="22" spans="1:13">
      <c r="A22" s="121"/>
      <c r="B22" s="121"/>
      <c r="C22" s="121"/>
      <c r="D22" s="122"/>
      <c r="E22" s="121"/>
      <c r="F22" s="121"/>
      <c r="G22" s="121"/>
      <c r="H22" s="121"/>
      <c r="I22" s="122"/>
      <c r="J22" s="102"/>
      <c r="K22" t="str">
        <f>IF(A22&gt;0,VLOOKUP(A22,טבלאות!$J:$K,2,0),"")</f>
        <v/>
      </c>
      <c r="L22" s="50" t="str">
        <f>IF(ISERROR(VLOOKUP(B22,טבלאות!$G:$H,2,0)),"",VLOOKUP(B22,טבלאות!$G:$H,2,0))</f>
        <v/>
      </c>
      <c r="M22" s="51" t="str">
        <f t="shared" si="0"/>
        <v/>
      </c>
    </row>
    <row r="23" spans="1:13">
      <c r="A23" s="121"/>
      <c r="B23" s="121"/>
      <c r="C23" s="121"/>
      <c r="D23" s="122"/>
      <c r="E23" s="121"/>
      <c r="F23" s="121"/>
      <c r="G23" s="121"/>
      <c r="H23" s="121"/>
      <c r="I23" s="122"/>
      <c r="J23" s="102"/>
      <c r="K23" t="str">
        <f>IF(A23&gt;0,VLOOKUP(A23,טבלאות!$J:$K,2,0),"")</f>
        <v/>
      </c>
      <c r="L23" s="50" t="str">
        <f>IF(ISERROR(VLOOKUP(B23,טבלאות!$G:$H,2,0)),"",VLOOKUP(B23,טבלאות!$G:$H,2,0))</f>
        <v/>
      </c>
      <c r="M23" s="51" t="str">
        <f t="shared" si="0"/>
        <v/>
      </c>
    </row>
    <row r="24" spans="1:13">
      <c r="A24" s="121"/>
      <c r="B24" s="121"/>
      <c r="C24" s="121"/>
      <c r="D24" s="122"/>
      <c r="E24" s="121"/>
      <c r="F24" s="121"/>
      <c r="G24" s="121"/>
      <c r="H24" s="121"/>
      <c r="I24" s="122"/>
      <c r="J24" s="102"/>
      <c r="K24" t="str">
        <f>IF(A24&gt;0,VLOOKUP(A24,טבלאות!$J:$K,2,0),"")</f>
        <v/>
      </c>
      <c r="L24" s="50" t="str">
        <f>IF(ISERROR(VLOOKUP(B24,טבלאות!$G:$H,2,0)),"",VLOOKUP(B24,טבלאות!$G:$H,2,0))</f>
        <v/>
      </c>
      <c r="M24" s="51" t="str">
        <f t="shared" si="0"/>
        <v/>
      </c>
    </row>
    <row r="25" spans="1:13">
      <c r="A25" s="121"/>
      <c r="B25" s="121"/>
      <c r="C25" s="121"/>
      <c r="D25" s="122"/>
      <c r="E25" s="121"/>
      <c r="F25" s="121"/>
      <c r="G25" s="121"/>
      <c r="H25" s="121"/>
      <c r="I25" s="122"/>
      <c r="J25" s="102"/>
      <c r="K25" t="str">
        <f>IF(A25&gt;0,VLOOKUP(A25,טבלאות!$J:$K,2,0),"")</f>
        <v/>
      </c>
      <c r="L25" s="50" t="str">
        <f>IF(ISERROR(VLOOKUP(B25,טבלאות!$G:$H,2,0)),"",VLOOKUP(B25,טבלאות!$G:$H,2,0))</f>
        <v/>
      </c>
      <c r="M25" s="51" t="str">
        <f t="shared" si="0"/>
        <v/>
      </c>
    </row>
    <row r="26" spans="1:13">
      <c r="A26" s="121"/>
      <c r="B26" s="121"/>
      <c r="C26" s="121"/>
      <c r="D26" s="122"/>
      <c r="E26" s="121"/>
      <c r="F26" s="121"/>
      <c r="G26" s="121"/>
      <c r="H26" s="121"/>
      <c r="I26" s="122"/>
      <c r="J26" s="102"/>
      <c r="K26" t="str">
        <f>IF(A26&gt;0,VLOOKUP(A26,טבלאות!$J:$K,2,0),"")</f>
        <v/>
      </c>
      <c r="L26" s="50" t="str">
        <f>IF(ISERROR(VLOOKUP(B26,טבלאות!$G:$H,2,0)),"",VLOOKUP(B26,טבלאות!$G:$H,2,0))</f>
        <v/>
      </c>
      <c r="M26" s="51" t="str">
        <f t="shared" si="0"/>
        <v/>
      </c>
    </row>
    <row r="27" spans="1:13">
      <c r="A27" s="121"/>
      <c r="B27" s="121"/>
      <c r="C27" s="121"/>
      <c r="D27" s="122"/>
      <c r="E27" s="121"/>
      <c r="F27" s="121"/>
      <c r="G27" s="121"/>
      <c r="H27" s="121"/>
      <c r="I27" s="122"/>
      <c r="J27" s="102"/>
      <c r="K27" t="str">
        <f>IF(A27&gt;0,VLOOKUP(A27,טבלאות!$J:$K,2,0),"")</f>
        <v/>
      </c>
      <c r="L27" s="50" t="str">
        <f>IF(ISERROR(VLOOKUP(B27,טבלאות!$G:$H,2,0)),"",VLOOKUP(B27,טבלאות!$G:$H,2,0))</f>
        <v/>
      </c>
      <c r="M27" s="51" t="str">
        <f t="shared" si="0"/>
        <v/>
      </c>
    </row>
    <row r="28" spans="1:13">
      <c r="A28" s="121"/>
      <c r="B28" s="121"/>
      <c r="C28" s="121"/>
      <c r="D28" s="122"/>
      <c r="E28" s="121"/>
      <c r="F28" s="121"/>
      <c r="G28" s="121"/>
      <c r="H28" s="121"/>
      <c r="I28" s="122"/>
      <c r="J28" s="102"/>
      <c r="K28" t="str">
        <f>IF(A28&gt;0,VLOOKUP(A28,טבלאות!$J:$K,2,0),"")</f>
        <v/>
      </c>
      <c r="L28" s="50" t="str">
        <f>IF(ISERROR(VLOOKUP(B28,טבלאות!$G:$H,2,0)),"",VLOOKUP(B28,טבלאות!$G:$H,2,0))</f>
        <v/>
      </c>
      <c r="M28" s="51" t="str">
        <f t="shared" si="0"/>
        <v/>
      </c>
    </row>
    <row r="29" spans="1:13">
      <c r="A29" s="121"/>
      <c r="B29" s="121"/>
      <c r="C29" s="121"/>
      <c r="D29" s="122"/>
      <c r="E29" s="121"/>
      <c r="F29" s="121"/>
      <c r="G29" s="121"/>
      <c r="H29" s="121"/>
      <c r="I29" s="122"/>
      <c r="J29" s="102"/>
      <c r="K29" t="str">
        <f>IF(A29&gt;0,VLOOKUP(A29,טבלאות!$J:$K,2,0),"")</f>
        <v/>
      </c>
      <c r="L29" s="50" t="str">
        <f>IF(ISERROR(VLOOKUP(B29,טבלאות!$G:$H,2,0)),"",VLOOKUP(B29,טבלאות!$G:$H,2,0))</f>
        <v/>
      </c>
      <c r="M29" s="51" t="str">
        <f t="shared" si="0"/>
        <v/>
      </c>
    </row>
    <row r="30" spans="1:13">
      <c r="A30" s="121"/>
      <c r="B30" s="121"/>
      <c r="C30" s="121"/>
      <c r="D30" s="122"/>
      <c r="E30" s="121"/>
      <c r="F30" s="121"/>
      <c r="G30" s="121"/>
      <c r="H30" s="121"/>
      <c r="I30" s="122"/>
      <c r="J30" s="102"/>
      <c r="K30" t="str">
        <f>IF(A30&gt;0,VLOOKUP(A30,טבלאות!$J:$K,2,0),"")</f>
        <v/>
      </c>
      <c r="L30" s="50" t="str">
        <f>IF(ISERROR(VLOOKUP(B30,טבלאות!$G:$H,2,0)),"",VLOOKUP(B30,טבלאות!$G:$H,2,0))</f>
        <v/>
      </c>
      <c r="M30" s="51" t="str">
        <f t="shared" si="0"/>
        <v/>
      </c>
    </row>
    <row r="31" spans="1:13">
      <c r="A31" s="121"/>
      <c r="B31" s="121"/>
      <c r="C31" s="121"/>
      <c r="D31" s="122"/>
      <c r="E31" s="121"/>
      <c r="F31" s="121"/>
      <c r="G31" s="121"/>
      <c r="H31" s="121"/>
      <c r="I31" s="122"/>
      <c r="J31" s="102"/>
      <c r="K31" t="str">
        <f>IF(A31&gt;0,VLOOKUP(A31,טבלאות!$J:$K,2,0),"")</f>
        <v/>
      </c>
      <c r="L31" s="50" t="str">
        <f>IF(ISERROR(VLOOKUP(B31,טבלאות!$G:$H,2,0)),"",VLOOKUP(B31,טבלאות!$G:$H,2,0))</f>
        <v/>
      </c>
      <c r="M31" s="51" t="str">
        <f t="shared" si="0"/>
        <v/>
      </c>
    </row>
    <row r="32" spans="1:13">
      <c r="A32" s="121"/>
      <c r="B32" s="121"/>
      <c r="C32" s="121"/>
      <c r="D32" s="122"/>
      <c r="E32" s="121"/>
      <c r="F32" s="121"/>
      <c r="G32" s="121"/>
      <c r="H32" s="121"/>
      <c r="I32" s="122"/>
      <c r="J32" s="102"/>
      <c r="K32" t="str">
        <f>IF(A32&gt;0,VLOOKUP(A32,טבלאות!$J:$K,2,0),"")</f>
        <v/>
      </c>
      <c r="L32" s="50" t="str">
        <f>IF(ISERROR(VLOOKUP(B32,טבלאות!$G:$H,2,0)),"",VLOOKUP(B32,טבלאות!$G:$H,2,0))</f>
        <v/>
      </c>
      <c r="M32" s="51" t="str">
        <f t="shared" si="0"/>
        <v/>
      </c>
    </row>
    <row r="33" spans="1:13">
      <c r="A33" s="121"/>
      <c r="B33" s="121"/>
      <c r="C33" s="121"/>
      <c r="D33" s="122"/>
      <c r="E33" s="121"/>
      <c r="F33" s="121"/>
      <c r="G33" s="121"/>
      <c r="H33" s="121"/>
      <c r="I33" s="122"/>
      <c r="J33" s="102"/>
      <c r="K33" t="str">
        <f>IF(A33&gt;0,VLOOKUP(A33,טבלאות!$J:$K,2,0),"")</f>
        <v/>
      </c>
      <c r="L33" s="50" t="str">
        <f>IF(ISERROR(VLOOKUP(B33,טבלאות!$G:$H,2,0)),"",VLOOKUP(B33,טבלאות!$G:$H,2,0))</f>
        <v/>
      </c>
      <c r="M33" s="51" t="str">
        <f t="shared" si="0"/>
        <v/>
      </c>
    </row>
    <row r="34" spans="1:13">
      <c r="A34" s="121"/>
      <c r="B34" s="121"/>
      <c r="C34" s="121"/>
      <c r="D34" s="122"/>
      <c r="E34" s="121"/>
      <c r="F34" s="121"/>
      <c r="G34" s="121"/>
      <c r="H34" s="121"/>
      <c r="I34" s="122"/>
      <c r="J34" s="102"/>
      <c r="K34" t="str">
        <f>IF(A34&gt;0,VLOOKUP(A34,טבלאות!$J:$K,2,0),"")</f>
        <v/>
      </c>
      <c r="L34" s="50" t="str">
        <f>IF(ISERROR(VLOOKUP(B34,טבלאות!$G:$H,2,0)),"",VLOOKUP(B34,טבלאות!$G:$H,2,0))</f>
        <v/>
      </c>
      <c r="M34" s="51" t="str">
        <f t="shared" si="0"/>
        <v/>
      </c>
    </row>
    <row r="35" spans="1:13">
      <c r="A35" s="121"/>
      <c r="B35" s="121"/>
      <c r="C35" s="121"/>
      <c r="D35" s="122"/>
      <c r="E35" s="121"/>
      <c r="F35" s="121"/>
      <c r="G35" s="121"/>
      <c r="H35" s="121"/>
      <c r="I35" s="122"/>
      <c r="J35" s="102"/>
      <c r="K35" t="str">
        <f>IF(A35&gt;0,VLOOKUP(A35,טבלאות!$J:$K,2,0),"")</f>
        <v/>
      </c>
      <c r="L35" s="50" t="str">
        <f>IF(ISERROR(VLOOKUP(B35,טבלאות!$G:$H,2,0)),"",VLOOKUP(B35,טבלאות!$G:$H,2,0))</f>
        <v/>
      </c>
      <c r="M35" s="51" t="str">
        <f t="shared" si="0"/>
        <v/>
      </c>
    </row>
    <row r="36" spans="1:13">
      <c r="A36" s="121"/>
      <c r="B36" s="121"/>
      <c r="C36" s="121"/>
      <c r="D36" s="122"/>
      <c r="E36" s="121"/>
      <c r="F36" s="121"/>
      <c r="G36" s="121"/>
      <c r="H36" s="121"/>
      <c r="I36" s="122"/>
      <c r="J36" s="102"/>
      <c r="K36" t="str">
        <f>IF(A36&gt;0,VLOOKUP(A36,טבלאות!$J:$K,2,0),"")</f>
        <v/>
      </c>
      <c r="L36" s="50" t="str">
        <f>IF(ISERROR(VLOOKUP(B36,טבלאות!$G:$H,2,0)),"",VLOOKUP(B36,טבלאות!$G:$H,2,0))</f>
        <v/>
      </c>
      <c r="M36" s="51" t="str">
        <f t="shared" si="0"/>
        <v/>
      </c>
    </row>
    <row r="37" spans="1:13">
      <c r="A37" s="121"/>
      <c r="B37" s="121"/>
      <c r="C37" s="121"/>
      <c r="D37" s="122"/>
      <c r="E37" s="121"/>
      <c r="F37" s="121"/>
      <c r="G37" s="121"/>
      <c r="H37" s="121"/>
      <c r="I37" s="122"/>
      <c r="J37" s="102"/>
      <c r="K37" t="str">
        <f>IF(A37&gt;0,VLOOKUP(A37,טבלאות!$J:$K,2,0),"")</f>
        <v/>
      </c>
      <c r="L37" s="50" t="str">
        <f>IF(ISERROR(VLOOKUP(B37,טבלאות!$G:$H,2,0)),"",VLOOKUP(B37,טבלאות!$G:$H,2,0))</f>
        <v/>
      </c>
      <c r="M37" s="51" t="str">
        <f t="shared" si="0"/>
        <v/>
      </c>
    </row>
    <row r="38" spans="1:13">
      <c r="A38" s="121"/>
      <c r="B38" s="121"/>
      <c r="C38" s="121"/>
      <c r="D38" s="122"/>
      <c r="E38" s="121"/>
      <c r="F38" s="121"/>
      <c r="G38" s="121"/>
      <c r="H38" s="121"/>
      <c r="I38" s="122"/>
      <c r="J38" s="102"/>
      <c r="K38" t="str">
        <f>IF(A38&gt;0,VLOOKUP(A38,טבלאות!$J:$K,2,0),"")</f>
        <v/>
      </c>
      <c r="L38" s="50" t="str">
        <f>IF(ISERROR(VLOOKUP(B38,טבלאות!$G:$H,2,0)),"",VLOOKUP(B38,טבלאות!$G:$H,2,0))</f>
        <v/>
      </c>
      <c r="M38" s="51" t="str">
        <f t="shared" si="0"/>
        <v/>
      </c>
    </row>
    <row r="39" spans="1:13">
      <c r="A39" s="121"/>
      <c r="B39" s="121"/>
      <c r="C39" s="121"/>
      <c r="D39" s="122"/>
      <c r="E39" s="121"/>
      <c r="F39" s="121"/>
      <c r="G39" s="121"/>
      <c r="H39" s="121"/>
      <c r="I39" s="122"/>
      <c r="J39" s="102"/>
      <c r="K39" t="str">
        <f>IF(A39&gt;0,VLOOKUP(A39,טבלאות!$J:$K,2,0),"")</f>
        <v/>
      </c>
      <c r="L39" s="50" t="str">
        <f>IF(ISERROR(VLOOKUP(B39,טבלאות!$G:$H,2,0)),"",VLOOKUP(B39,טבלאות!$G:$H,2,0))</f>
        <v/>
      </c>
      <c r="M39" s="51" t="str">
        <f t="shared" si="0"/>
        <v/>
      </c>
    </row>
    <row r="40" spans="1:13">
      <c r="A40" s="121"/>
      <c r="B40" s="121"/>
      <c r="C40" s="121"/>
      <c r="D40" s="122"/>
      <c r="E40" s="121"/>
      <c r="F40" s="121"/>
      <c r="G40" s="121"/>
      <c r="H40" s="121"/>
      <c r="I40" s="122"/>
      <c r="J40" s="102"/>
      <c r="K40" t="str">
        <f>IF(A40&gt;0,VLOOKUP(A40,טבלאות!$J:$K,2,0),"")</f>
        <v/>
      </c>
      <c r="L40" s="50" t="str">
        <f>IF(ISERROR(VLOOKUP(B40,טבלאות!$G:$H,2,0)),"",VLOOKUP(B40,טבלאות!$G:$H,2,0))</f>
        <v/>
      </c>
      <c r="M40" s="51" t="str">
        <f t="shared" si="0"/>
        <v/>
      </c>
    </row>
    <row r="41" spans="1:13">
      <c r="A41" s="121"/>
      <c r="B41" s="121"/>
      <c r="C41" s="121"/>
      <c r="D41" s="122"/>
      <c r="E41" s="121"/>
      <c r="F41" s="121"/>
      <c r="G41" s="121"/>
      <c r="H41" s="121"/>
      <c r="I41" s="122"/>
      <c r="J41" s="102"/>
      <c r="K41" t="str">
        <f>IF(A41&gt;0,VLOOKUP(A41,טבלאות!$J:$K,2,0),"")</f>
        <v/>
      </c>
      <c r="L41" s="50" t="str">
        <f>IF(ISERROR(VLOOKUP(B41,טבלאות!$G:$H,2,0)),"",VLOOKUP(B41,טבלאות!$G:$H,2,0))</f>
        <v/>
      </c>
      <c r="M41" s="51" t="str">
        <f t="shared" si="0"/>
        <v/>
      </c>
    </row>
    <row r="42" spans="1:13">
      <c r="A42" s="121"/>
      <c r="B42" s="121"/>
      <c r="C42" s="121"/>
      <c r="D42" s="122"/>
      <c r="E42" s="121"/>
      <c r="F42" s="121"/>
      <c r="G42" s="121"/>
      <c r="H42" s="121"/>
      <c r="I42" s="122"/>
      <c r="J42" s="102"/>
      <c r="K42" t="str">
        <f>IF(A42&gt;0,VLOOKUP(A42,טבלאות!$J:$K,2,0),"")</f>
        <v/>
      </c>
      <c r="L42" s="50" t="str">
        <f>IF(ISERROR(VLOOKUP(B42,טבלאות!$G:$H,2,0)),"",VLOOKUP(B42,טבלאות!$G:$H,2,0))</f>
        <v/>
      </c>
      <c r="M42" s="51" t="str">
        <f t="shared" si="0"/>
        <v/>
      </c>
    </row>
    <row r="43" spans="1:13">
      <c r="A43" s="121"/>
      <c r="B43" s="121"/>
      <c r="C43" s="121"/>
      <c r="D43" s="122"/>
      <c r="E43" s="121"/>
      <c r="F43" s="121"/>
      <c r="G43" s="121"/>
      <c r="H43" s="121"/>
      <c r="I43" s="122"/>
      <c r="J43" s="102"/>
      <c r="K43" t="str">
        <f>IF(A43&gt;0,VLOOKUP(A43,טבלאות!$J:$K,2,0),"")</f>
        <v/>
      </c>
      <c r="L43" s="50" t="str">
        <f>IF(ISERROR(VLOOKUP(B43,טבלאות!$G:$H,2,0)),"",VLOOKUP(B43,טבלאות!$G:$H,2,0))</f>
        <v/>
      </c>
      <c r="M43" s="51" t="str">
        <f t="shared" si="0"/>
        <v/>
      </c>
    </row>
    <row r="44" spans="1:13">
      <c r="A44" s="121"/>
      <c r="B44" s="121"/>
      <c r="C44" s="121"/>
      <c r="D44" s="122"/>
      <c r="E44" s="121"/>
      <c r="F44" s="121"/>
      <c r="G44" s="121"/>
      <c r="H44" s="121"/>
      <c r="I44" s="122"/>
      <c r="J44" s="102"/>
      <c r="K44" t="str">
        <f>IF(A44&gt;0,VLOOKUP(A44,טבלאות!$J:$K,2,0),"")</f>
        <v/>
      </c>
      <c r="L44" s="50" t="str">
        <f>IF(ISERROR(VLOOKUP(B44,טבלאות!$G:$H,2,0)),"",VLOOKUP(B44,טבלאות!$G:$H,2,0))</f>
        <v/>
      </c>
      <c r="M44" s="51" t="str">
        <f t="shared" si="0"/>
        <v/>
      </c>
    </row>
    <row r="45" spans="1:13">
      <c r="A45" s="121"/>
      <c r="B45" s="121"/>
      <c r="C45" s="121"/>
      <c r="D45" s="122"/>
      <c r="E45" s="121"/>
      <c r="F45" s="121"/>
      <c r="G45" s="121"/>
      <c r="H45" s="121"/>
      <c r="I45" s="122"/>
      <c r="J45" s="102"/>
      <c r="K45" t="str">
        <f>IF(A45&gt;0,VLOOKUP(A45,טבלאות!$J:$K,2,0),"")</f>
        <v/>
      </c>
      <c r="L45" s="50" t="str">
        <f>IF(ISERROR(VLOOKUP(B45,טבלאות!$G:$H,2,0)),"",VLOOKUP(B45,טבלאות!$G:$H,2,0))</f>
        <v/>
      </c>
      <c r="M45" s="51" t="str">
        <f t="shared" si="0"/>
        <v/>
      </c>
    </row>
    <row r="46" spans="1:13">
      <c r="A46" s="121"/>
      <c r="B46" s="121"/>
      <c r="C46" s="121"/>
      <c r="D46" s="122"/>
      <c r="E46" s="121"/>
      <c r="F46" s="121"/>
      <c r="G46" s="121"/>
      <c r="H46" s="121"/>
      <c r="I46" s="122"/>
      <c r="J46" s="102"/>
      <c r="K46" t="str">
        <f>IF(A46&gt;0,VLOOKUP(A46,טבלאות!$J:$K,2,0),"")</f>
        <v/>
      </c>
      <c r="L46" s="50" t="str">
        <f>IF(ISERROR(VLOOKUP(B46,טבלאות!$G:$H,2,0)),"",VLOOKUP(B46,טבלאות!$G:$H,2,0))</f>
        <v/>
      </c>
      <c r="M46" s="51" t="str">
        <f t="shared" si="0"/>
        <v/>
      </c>
    </row>
    <row r="47" spans="1:13">
      <c r="A47" s="121"/>
      <c r="B47" s="121"/>
      <c r="C47" s="121"/>
      <c r="D47" s="122"/>
      <c r="E47" s="121"/>
      <c r="F47" s="121"/>
      <c r="G47" s="121"/>
      <c r="H47" s="121"/>
      <c r="I47" s="122"/>
      <c r="J47" s="102"/>
      <c r="K47" t="str">
        <f>IF(A47&gt;0,VLOOKUP(A47,טבלאות!$J:$K,2,0),"")</f>
        <v/>
      </c>
      <c r="L47" s="50" t="str">
        <f>IF(ISERROR(VLOOKUP(B47,טבלאות!$G:$H,2,0)),"",VLOOKUP(B47,טבלאות!$G:$H,2,0))</f>
        <v/>
      </c>
      <c r="M47" s="51" t="str">
        <f t="shared" si="0"/>
        <v/>
      </c>
    </row>
    <row r="48" spans="1:13">
      <c r="A48" s="121"/>
      <c r="B48" s="121"/>
      <c r="C48" s="121"/>
      <c r="D48" s="122"/>
      <c r="E48" s="121"/>
      <c r="F48" s="121"/>
      <c r="G48" s="121"/>
      <c r="H48" s="121"/>
      <c r="I48" s="122"/>
      <c r="J48" s="102"/>
      <c r="K48" t="str">
        <f>IF(A48&gt;0,VLOOKUP(A48,טבלאות!$J:$K,2,0),"")</f>
        <v/>
      </c>
      <c r="L48" s="50" t="str">
        <f>IF(ISERROR(VLOOKUP(B48,טבלאות!$G:$H,2,0)),"",VLOOKUP(B48,טבלאות!$G:$H,2,0))</f>
        <v/>
      </c>
      <c r="M48" s="51" t="str">
        <f t="shared" si="0"/>
        <v/>
      </c>
    </row>
    <row r="49" spans="1:13">
      <c r="A49" s="121"/>
      <c r="B49" s="121"/>
      <c r="C49" s="121"/>
      <c r="D49" s="122"/>
      <c r="E49" s="121"/>
      <c r="F49" s="121"/>
      <c r="G49" s="121"/>
      <c r="H49" s="121"/>
      <c r="I49" s="122"/>
      <c r="J49" s="102"/>
      <c r="K49" t="str">
        <f>IF(A49&gt;0,VLOOKUP(A49,טבלאות!$J:$K,2,0),"")</f>
        <v/>
      </c>
      <c r="L49" s="50" t="str">
        <f>IF(ISERROR(VLOOKUP(B49,טבלאות!$G:$H,2,0)),"",VLOOKUP(B49,טבלאות!$G:$H,2,0))</f>
        <v/>
      </c>
      <c r="M49" s="51" t="str">
        <f t="shared" si="0"/>
        <v/>
      </c>
    </row>
    <row r="50" spans="1:13">
      <c r="A50" s="121"/>
      <c r="B50" s="121"/>
      <c r="C50" s="121"/>
      <c r="D50" s="122"/>
      <c r="E50" s="121"/>
      <c r="F50" s="121"/>
      <c r="G50" s="121"/>
      <c r="H50" s="121"/>
      <c r="I50" s="122"/>
      <c r="J50" s="102"/>
      <c r="K50" t="str">
        <f>IF(A50&gt;0,VLOOKUP(A50,טבלאות!$J:$K,2,0),"")</f>
        <v/>
      </c>
      <c r="L50" s="50" t="str">
        <f>IF(ISERROR(VLOOKUP(B50,טבלאות!$G:$H,2,0)),"",VLOOKUP(B50,טבלאות!$G:$H,2,0))</f>
        <v/>
      </c>
      <c r="M50" s="51" t="str">
        <f t="shared" si="0"/>
        <v/>
      </c>
    </row>
    <row r="51" spans="1:13">
      <c r="A51" s="121"/>
      <c r="B51" s="121"/>
      <c r="C51" s="121"/>
      <c r="D51" s="122"/>
      <c r="E51" s="121"/>
      <c r="F51" s="121"/>
      <c r="G51" s="121"/>
      <c r="H51" s="121"/>
      <c r="I51" s="122"/>
      <c r="J51" s="102"/>
      <c r="K51" t="str">
        <f>IF(A51&gt;0,VLOOKUP(A51,טבלאות!$J:$K,2,0),"")</f>
        <v/>
      </c>
      <c r="L51" s="50" t="str">
        <f>IF(ISERROR(VLOOKUP(B51,טבלאות!$G:$H,2,0)),"",VLOOKUP(B51,טבלאות!$G:$H,2,0))</f>
        <v/>
      </c>
      <c r="M51" s="51" t="str">
        <f t="shared" si="0"/>
        <v/>
      </c>
    </row>
    <row r="52" spans="1:13">
      <c r="A52" s="121"/>
      <c r="B52" s="121"/>
      <c r="C52" s="121"/>
      <c r="D52" s="122"/>
      <c r="E52" s="121"/>
      <c r="F52" s="121"/>
      <c r="G52" s="121"/>
      <c r="H52" s="121"/>
      <c r="I52" s="122"/>
      <c r="J52" s="102"/>
      <c r="K52" t="str">
        <f>IF(A52&gt;0,VLOOKUP(A52,טבלאות!$J:$K,2,0),"")</f>
        <v/>
      </c>
      <c r="L52" s="50" t="str">
        <f>IF(ISERROR(VLOOKUP(B52,טבלאות!$G:$H,2,0)),"",VLOOKUP(B52,טבלאות!$G:$H,2,0))</f>
        <v/>
      </c>
      <c r="M52" s="51" t="str">
        <f t="shared" si="0"/>
        <v/>
      </c>
    </row>
    <row r="53" spans="1:13">
      <c r="A53" s="121"/>
      <c r="B53" s="121"/>
      <c r="C53" s="121"/>
      <c r="D53" s="122"/>
      <c r="E53" s="121"/>
      <c r="F53" s="121"/>
      <c r="G53" s="121"/>
      <c r="H53" s="121"/>
      <c r="I53" s="122"/>
      <c r="J53" s="102"/>
      <c r="K53" t="str">
        <f>IF(A53&gt;0,VLOOKUP(A53,טבלאות!$J:$K,2,0),"")</f>
        <v/>
      </c>
      <c r="L53" s="50" t="str">
        <f>IF(ISERROR(VLOOKUP(B53,טבלאות!$G:$H,2,0)),"",VLOOKUP(B53,טבלאות!$G:$H,2,0))</f>
        <v/>
      </c>
      <c r="M53" s="51" t="str">
        <f t="shared" si="0"/>
        <v/>
      </c>
    </row>
    <row r="54" spans="1:13">
      <c r="A54" s="121"/>
      <c r="B54" s="121"/>
      <c r="C54" s="121"/>
      <c r="D54" s="122"/>
      <c r="E54" s="121"/>
      <c r="F54" s="121"/>
      <c r="G54" s="121"/>
      <c r="H54" s="121"/>
      <c r="I54" s="122"/>
      <c r="J54" s="102"/>
      <c r="K54" t="str">
        <f>IF(A54&gt;0,VLOOKUP(A54,טבלאות!$J:$K,2,0),"")</f>
        <v/>
      </c>
      <c r="L54" s="50" t="str">
        <f>IF(ISERROR(VLOOKUP(B54,טבלאות!$G:$H,2,0)),"",VLOOKUP(B54,טבלאות!$G:$H,2,0))</f>
        <v/>
      </c>
      <c r="M54" s="51" t="str">
        <f t="shared" si="0"/>
        <v/>
      </c>
    </row>
    <row r="55" spans="1:13">
      <c r="A55" s="121"/>
      <c r="B55" s="121"/>
      <c r="C55" s="121"/>
      <c r="D55" s="122"/>
      <c r="E55" s="121"/>
      <c r="F55" s="121"/>
      <c r="G55" s="121"/>
      <c r="H55" s="121"/>
      <c r="I55" s="122"/>
      <c r="J55" s="102"/>
      <c r="K55" t="str">
        <f>IF(A55&gt;0,VLOOKUP(A55,טבלאות!$J:$K,2,0),"")</f>
        <v/>
      </c>
      <c r="L55" s="50" t="str">
        <f>IF(ISERROR(VLOOKUP(B55,טבלאות!$G:$H,2,0)),"",VLOOKUP(B55,טבלאות!$G:$H,2,0))</f>
        <v/>
      </c>
      <c r="M55" s="51" t="str">
        <f t="shared" si="0"/>
        <v/>
      </c>
    </row>
    <row r="56" spans="1:13">
      <c r="A56" s="121"/>
      <c r="B56" s="121"/>
      <c r="C56" s="121"/>
      <c r="D56" s="122"/>
      <c r="E56" s="121"/>
      <c r="F56" s="121"/>
      <c r="G56" s="121"/>
      <c r="H56" s="121"/>
      <c r="I56" s="122"/>
      <c r="J56" s="102"/>
      <c r="K56" t="str">
        <f>IF(A56&gt;0,VLOOKUP(A56,טבלאות!$J:$K,2,0),"")</f>
        <v/>
      </c>
      <c r="L56" s="50" t="str">
        <f>IF(ISERROR(VLOOKUP(B56,טבלאות!$G:$H,2,0)),"",VLOOKUP(B56,טבלאות!$G:$H,2,0))</f>
        <v/>
      </c>
      <c r="M56" s="51" t="str">
        <f t="shared" si="0"/>
        <v/>
      </c>
    </row>
    <row r="57" spans="1:13">
      <c r="A57" s="121"/>
      <c r="B57" s="121"/>
      <c r="C57" s="121"/>
      <c r="D57" s="122"/>
      <c r="E57" s="121"/>
      <c r="F57" s="121"/>
      <c r="G57" s="121"/>
      <c r="H57" s="121"/>
      <c r="I57" s="122"/>
      <c r="J57" s="102"/>
      <c r="K57" t="str">
        <f>IF(A57&gt;0,VLOOKUP(A57,טבלאות!$J:$K,2,0),"")</f>
        <v/>
      </c>
      <c r="L57" s="50" t="str">
        <f>IF(ISERROR(VLOOKUP(B57,טבלאות!$G:$H,2,0)),"",VLOOKUP(B57,טבלאות!$G:$H,2,0))</f>
        <v/>
      </c>
      <c r="M57" s="51" t="str">
        <f t="shared" si="0"/>
        <v/>
      </c>
    </row>
    <row r="58" spans="1:13">
      <c r="A58" s="121"/>
      <c r="B58" s="121"/>
      <c r="C58" s="121"/>
      <c r="D58" s="122"/>
      <c r="E58" s="121"/>
      <c r="F58" s="121"/>
      <c r="G58" s="121"/>
      <c r="H58" s="121"/>
      <c r="I58" s="122"/>
      <c r="J58" s="102"/>
      <c r="K58" t="str">
        <f>IF(A58&gt;0,VLOOKUP(A58,טבלאות!$J:$K,2,0),"")</f>
        <v/>
      </c>
      <c r="L58" s="50" t="str">
        <f>IF(ISERROR(VLOOKUP(B58,טבלאות!$G:$H,2,0)),"",VLOOKUP(B58,טבלאות!$G:$H,2,0))</f>
        <v/>
      </c>
      <c r="M58" s="51" t="str">
        <f t="shared" si="0"/>
        <v/>
      </c>
    </row>
    <row r="59" spans="1:13">
      <c r="A59" s="121"/>
      <c r="B59" s="121"/>
      <c r="C59" s="121"/>
      <c r="D59" s="122"/>
      <c r="E59" s="121"/>
      <c r="F59" s="121"/>
      <c r="G59" s="121"/>
      <c r="H59" s="121"/>
      <c r="I59" s="122"/>
      <c r="J59" s="102"/>
      <c r="K59" t="str">
        <f>IF(A59&gt;0,VLOOKUP(A59,טבלאות!$J:$K,2,0),"")</f>
        <v/>
      </c>
      <c r="L59" s="50" t="str">
        <f>IF(ISERROR(VLOOKUP(B59,טבלאות!$G:$H,2,0)),"",VLOOKUP(B59,טבלאות!$G:$H,2,0))</f>
        <v/>
      </c>
      <c r="M59" s="51" t="str">
        <f t="shared" si="0"/>
        <v/>
      </c>
    </row>
    <row r="60" spans="1:13">
      <c r="A60" s="121"/>
      <c r="B60" s="121"/>
      <c r="C60" s="121"/>
      <c r="D60" s="122"/>
      <c r="E60" s="121"/>
      <c r="F60" s="121"/>
      <c r="G60" s="121"/>
      <c r="H60" s="121"/>
      <c r="I60" s="122"/>
      <c r="J60" s="102"/>
      <c r="K60" t="str">
        <f>IF(A60&gt;0,VLOOKUP(A60,טבלאות!$J:$K,2,0),"")</f>
        <v/>
      </c>
      <c r="L60" s="50" t="str">
        <f>IF(ISERROR(VLOOKUP(B60,טבלאות!$G:$H,2,0)),"",VLOOKUP(B60,טבלאות!$G:$H,2,0))</f>
        <v/>
      </c>
      <c r="M60" s="51" t="str">
        <f t="shared" si="0"/>
        <v/>
      </c>
    </row>
    <row r="61" spans="1:13">
      <c r="A61" s="121"/>
      <c r="B61" s="121"/>
      <c r="C61" s="121"/>
      <c r="D61" s="122"/>
      <c r="E61" s="121"/>
      <c r="F61" s="121"/>
      <c r="G61" s="121"/>
      <c r="H61" s="121"/>
      <c r="I61" s="122"/>
      <c r="J61" s="102"/>
      <c r="K61" t="str">
        <f>IF(A61&gt;0,VLOOKUP(A61,טבלאות!$J:$K,2,0),"")</f>
        <v/>
      </c>
      <c r="L61" s="50" t="str">
        <f>IF(ISERROR(VLOOKUP(B61,טבלאות!$G:$H,2,0)),"",VLOOKUP(B61,טבלאות!$G:$H,2,0))</f>
        <v/>
      </c>
      <c r="M61" s="51" t="str">
        <f t="shared" si="0"/>
        <v/>
      </c>
    </row>
    <row r="62" spans="1:13">
      <c r="A62" s="121"/>
      <c r="B62" s="121"/>
      <c r="C62" s="121"/>
      <c r="D62" s="122"/>
      <c r="E62" s="121"/>
      <c r="F62" s="121"/>
      <c r="G62" s="121"/>
      <c r="H62" s="121"/>
      <c r="I62" s="122"/>
      <c r="J62" s="102"/>
      <c r="K62" t="str">
        <f>IF(A62&gt;0,VLOOKUP(A62,טבלאות!$J:$K,2,0),"")</f>
        <v/>
      </c>
      <c r="L62" s="50" t="str">
        <f>IF(ISERROR(VLOOKUP(B62,טבלאות!$G:$H,2,0)),"",VLOOKUP(B62,טבלאות!$G:$H,2,0))</f>
        <v/>
      </c>
      <c r="M62" s="51" t="str">
        <f t="shared" si="0"/>
        <v/>
      </c>
    </row>
    <row r="63" spans="1:13">
      <c r="A63" s="121"/>
      <c r="B63" s="121"/>
      <c r="C63" s="121"/>
      <c r="D63" s="122"/>
      <c r="E63" s="121"/>
      <c r="F63" s="121"/>
      <c r="G63" s="121"/>
      <c r="H63" s="121"/>
      <c r="I63" s="122"/>
      <c r="J63" s="102"/>
      <c r="K63" t="str">
        <f>IF(A63&gt;0,VLOOKUP(A63,טבלאות!$J:$K,2,0),"")</f>
        <v/>
      </c>
      <c r="L63" s="50" t="str">
        <f>IF(ISERROR(VLOOKUP(B63,טבלאות!$G:$H,2,0)),"",VLOOKUP(B63,טבלאות!$G:$H,2,0))</f>
        <v/>
      </c>
      <c r="M63" s="51" t="str">
        <f t="shared" si="0"/>
        <v/>
      </c>
    </row>
    <row r="64" spans="1:13">
      <c r="A64" s="121"/>
      <c r="B64" s="121"/>
      <c r="C64" s="121"/>
      <c r="D64" s="122"/>
      <c r="E64" s="121"/>
      <c r="F64" s="121"/>
      <c r="G64" s="121"/>
      <c r="H64" s="121"/>
      <c r="I64" s="122"/>
      <c r="J64" s="102"/>
      <c r="K64" t="str">
        <f>IF(A64&gt;0,VLOOKUP(A64,טבלאות!$J:$K,2,0),"")</f>
        <v/>
      </c>
      <c r="L64" s="50" t="str">
        <f>IF(ISERROR(VLOOKUP(B64,טבלאות!$G:$H,2,0)),"",VLOOKUP(B64,טבלאות!$G:$H,2,0))</f>
        <v/>
      </c>
      <c r="M64" s="51" t="str">
        <f t="shared" si="0"/>
        <v/>
      </c>
    </row>
    <row r="65" spans="1:13">
      <c r="A65" s="121"/>
      <c r="B65" s="121"/>
      <c r="C65" s="121"/>
      <c r="D65" s="123"/>
      <c r="E65" s="121"/>
      <c r="F65" s="121"/>
      <c r="G65" s="121"/>
      <c r="H65" s="121"/>
      <c r="I65" s="122"/>
      <c r="J65" s="102"/>
      <c r="K65" t="str">
        <f>IF(A65&gt;0,VLOOKUP(A65,טבלאות!$J:$K,2,0),"")</f>
        <v/>
      </c>
      <c r="L65" s="50" t="str">
        <f>IF(ISERROR(VLOOKUP(B65,טבלאות!$G:$H,2,0)),"",VLOOKUP(B65,טבלאות!$G:$H,2,0))</f>
        <v/>
      </c>
      <c r="M65" s="51" t="str">
        <f t="shared" si="0"/>
        <v/>
      </c>
    </row>
    <row r="66" spans="1:13">
      <c r="A66" s="121"/>
      <c r="B66" s="121"/>
      <c r="C66" s="121"/>
      <c r="D66" s="122"/>
      <c r="E66" s="121"/>
      <c r="F66" s="121"/>
      <c r="G66" s="121"/>
      <c r="H66" s="121"/>
      <c r="I66" s="122"/>
      <c r="J66" s="102"/>
      <c r="K66" t="str">
        <f>IF(A66&gt;0,VLOOKUP(A66,טבלאות!$J:$K,2,0),"")</f>
        <v/>
      </c>
      <c r="L66" s="50" t="str">
        <f>IF(ISERROR(VLOOKUP(B66,טבלאות!$G:$H,2,0)),"",VLOOKUP(B66,טבלאות!$G:$H,2,0))</f>
        <v/>
      </c>
      <c r="M66" s="51" t="str">
        <f t="shared" ref="M66:M113" si="1">IF(OR(L66="",L66="?"),"",IF(L66&gt;0,I66,""))</f>
        <v/>
      </c>
    </row>
    <row r="67" spans="1:13">
      <c r="A67" s="121"/>
      <c r="B67" s="121"/>
      <c r="C67" s="121"/>
      <c r="D67" s="122"/>
      <c r="E67" s="121"/>
      <c r="F67" s="121"/>
      <c r="G67" s="121"/>
      <c r="H67" s="121"/>
      <c r="I67" s="122"/>
      <c r="J67" s="102"/>
      <c r="K67" t="str">
        <f>IF(A67&gt;0,VLOOKUP(A67,טבלאות!$J:$K,2,0),"")</f>
        <v/>
      </c>
      <c r="L67" s="50" t="str">
        <f>IF(ISERROR(VLOOKUP(B67,טבלאות!$G:$H,2,0)),"",VLOOKUP(B67,טבלאות!$G:$H,2,0))</f>
        <v/>
      </c>
      <c r="M67" s="51" t="str">
        <f t="shared" si="1"/>
        <v/>
      </c>
    </row>
    <row r="68" spans="1:13">
      <c r="A68" s="121"/>
      <c r="B68" s="121"/>
      <c r="C68" s="121"/>
      <c r="D68" s="122"/>
      <c r="E68" s="121"/>
      <c r="F68" s="121"/>
      <c r="G68" s="121"/>
      <c r="H68" s="121"/>
      <c r="I68" s="122"/>
      <c r="J68" s="102"/>
      <c r="K68" t="str">
        <f>IF(A68&gt;0,VLOOKUP(A68,טבלאות!$J:$K,2,0),"")</f>
        <v/>
      </c>
      <c r="L68" s="50" t="str">
        <f>IF(ISERROR(VLOOKUP(B68,טבלאות!$G:$H,2,0)),"",VLOOKUP(B68,טבלאות!$G:$H,2,0))</f>
        <v/>
      </c>
      <c r="M68" s="51" t="str">
        <f t="shared" si="1"/>
        <v/>
      </c>
    </row>
    <row r="69" spans="1:13">
      <c r="A69" s="121"/>
      <c r="B69" s="121"/>
      <c r="C69" s="121"/>
      <c r="D69" s="122"/>
      <c r="E69" s="121"/>
      <c r="F69" s="121"/>
      <c r="G69" s="121"/>
      <c r="H69" s="121"/>
      <c r="I69" s="122"/>
      <c r="J69" s="102"/>
      <c r="K69" t="str">
        <f>IF(A69&gt;0,VLOOKUP(A69,טבלאות!$J:$K,2,0),"")</f>
        <v/>
      </c>
      <c r="L69" s="50" t="str">
        <f>IF(ISERROR(VLOOKUP(B69,טבלאות!$G:$H,2,0)),"",VLOOKUP(B69,טבלאות!$G:$H,2,0))</f>
        <v/>
      </c>
      <c r="M69" s="51" t="str">
        <f t="shared" si="1"/>
        <v/>
      </c>
    </row>
    <row r="70" spans="1:13">
      <c r="B70" s="108"/>
      <c r="C70" s="124"/>
      <c r="D70" s="122"/>
      <c r="E70" s="108"/>
      <c r="F70" s="108"/>
      <c r="G70" s="108"/>
      <c r="H70" s="121"/>
      <c r="I70" s="109"/>
      <c r="J70" s="102"/>
      <c r="K70" t="str">
        <f>IF(A70&gt;0,VLOOKUP(A70,טבלאות!$J:$K,2,0),"")</f>
        <v/>
      </c>
      <c r="L70" s="50" t="str">
        <f>IF(ISERROR(VLOOKUP(B70,טבלאות!$G:$H,2,0)),"",VLOOKUP(B70,טבלאות!$G:$H,2,0))</f>
        <v/>
      </c>
      <c r="M70" s="51" t="str">
        <f t="shared" si="1"/>
        <v/>
      </c>
    </row>
    <row r="71" spans="1:13">
      <c r="B71" s="108"/>
      <c r="C71" s="124"/>
      <c r="D71" s="125"/>
      <c r="E71" s="108"/>
      <c r="F71" s="108"/>
      <c r="G71" s="108"/>
      <c r="H71" s="121"/>
      <c r="I71" s="109"/>
      <c r="J71" s="102"/>
      <c r="K71" t="str">
        <f>IF(A71&gt;0,VLOOKUP(A71,טבלאות!$J:$K,2,0),"")</f>
        <v/>
      </c>
      <c r="L71" s="50" t="str">
        <f>IF(ISERROR(VLOOKUP(B71,טבלאות!$G:$H,2,0)),"",VLOOKUP(B71,טבלאות!$G:$H,2,0))</f>
        <v/>
      </c>
      <c r="M71" s="51" t="str">
        <f t="shared" si="1"/>
        <v/>
      </c>
    </row>
    <row r="72" spans="1:13">
      <c r="B72" s="108"/>
      <c r="C72" s="124"/>
      <c r="D72" s="122"/>
      <c r="E72" s="108"/>
      <c r="F72" s="108"/>
      <c r="G72" s="108"/>
      <c r="H72" s="121"/>
      <c r="I72" s="109"/>
      <c r="J72" s="102"/>
      <c r="K72" t="str">
        <f>IF(A72&gt;0,VLOOKUP(A72,טבלאות!$J:$K,2,0),"")</f>
        <v/>
      </c>
      <c r="L72" s="50" t="str">
        <f>IF(ISERROR(VLOOKUP(B72,טבלאות!$G:$H,2,0)),"",VLOOKUP(B72,טבלאות!$G:$H,2,0))</f>
        <v/>
      </c>
      <c r="M72" s="51" t="str">
        <f t="shared" si="1"/>
        <v/>
      </c>
    </row>
    <row r="73" spans="1:13">
      <c r="B73" s="108"/>
      <c r="C73" s="124"/>
      <c r="D73" s="122"/>
      <c r="E73" s="108"/>
      <c r="F73" s="108"/>
      <c r="G73" s="108"/>
      <c r="H73" s="121"/>
      <c r="I73" s="109"/>
      <c r="J73" s="102"/>
      <c r="K73" t="str">
        <f>IF(A73&gt;0,VLOOKUP(A73,טבלאות!$J:$K,2,0),"")</f>
        <v/>
      </c>
      <c r="L73" s="50" t="str">
        <f>IF(ISERROR(VLOOKUP(B73,טבלאות!$G:$H,2,0)),"",VLOOKUP(B73,טבלאות!$G:$H,2,0))</f>
        <v/>
      </c>
      <c r="M73" s="51" t="str">
        <f t="shared" si="1"/>
        <v/>
      </c>
    </row>
    <row r="74" spans="1:13">
      <c r="B74" s="108"/>
      <c r="C74" s="124"/>
      <c r="D74" s="122"/>
      <c r="E74" s="108"/>
      <c r="F74" s="108"/>
      <c r="G74" s="108"/>
      <c r="H74" s="121"/>
      <c r="I74" s="109"/>
      <c r="J74" s="102"/>
      <c r="K74" t="str">
        <f>IF(A74&gt;0,VLOOKUP(A74,טבלאות!$J:$K,2,0),"")</f>
        <v/>
      </c>
      <c r="L74" s="50" t="str">
        <f>IF(ISERROR(VLOOKUP(B74,טבלאות!$G:$H,2,0)),"",VLOOKUP(B74,טבלאות!$G:$H,2,0))</f>
        <v/>
      </c>
      <c r="M74" s="51" t="str">
        <f t="shared" si="1"/>
        <v/>
      </c>
    </row>
    <row r="75" spans="1:13">
      <c r="B75" s="108"/>
      <c r="C75" s="124"/>
      <c r="D75" s="122"/>
      <c r="E75" s="108"/>
      <c r="F75" s="108"/>
      <c r="G75" s="108"/>
      <c r="H75" s="121"/>
      <c r="I75" s="109"/>
      <c r="J75" s="102"/>
      <c r="K75" t="str">
        <f>IF(A75&gt;0,VLOOKUP(A75,טבלאות!$J:$K,2,0),"")</f>
        <v/>
      </c>
      <c r="L75" s="50" t="str">
        <f>IF(ISERROR(VLOOKUP(B75,טבלאות!$G:$H,2,0)),"",VLOOKUP(B75,טבלאות!$G:$H,2,0))</f>
        <v/>
      </c>
      <c r="M75" s="51" t="str">
        <f t="shared" si="1"/>
        <v/>
      </c>
    </row>
    <row r="76" spans="1:13">
      <c r="B76" s="108"/>
      <c r="C76" s="124"/>
      <c r="D76" s="122"/>
      <c r="E76" s="108"/>
      <c r="F76" s="108"/>
      <c r="G76" s="108"/>
      <c r="H76" s="121"/>
      <c r="I76" s="109"/>
      <c r="J76" s="102"/>
      <c r="K76" t="str">
        <f>IF(A76&gt;0,VLOOKUP(A76,טבלאות!$J:$K,2,0),"")</f>
        <v/>
      </c>
      <c r="L76" s="50" t="str">
        <f>IF(ISERROR(VLOOKUP(B76,טבלאות!$G:$H,2,0)),"",VLOOKUP(B76,טבלאות!$G:$H,2,0))</f>
        <v/>
      </c>
      <c r="M76" s="51" t="str">
        <f t="shared" si="1"/>
        <v/>
      </c>
    </row>
    <row r="77" spans="1:13">
      <c r="B77" s="108"/>
      <c r="C77" s="124"/>
      <c r="D77" s="122"/>
      <c r="E77" s="108"/>
      <c r="F77" s="108"/>
      <c r="G77" s="108"/>
      <c r="H77" s="121"/>
      <c r="I77" s="109"/>
      <c r="J77" s="102"/>
      <c r="K77" t="str">
        <f>IF(A77&gt;0,VLOOKUP(A77,טבלאות!$J:$K,2,0),"")</f>
        <v/>
      </c>
      <c r="L77" s="50" t="str">
        <f>IF(ISERROR(VLOOKUP(B77,טבלאות!$G:$H,2,0)),"",VLOOKUP(B77,טבלאות!$G:$H,2,0))</f>
        <v/>
      </c>
      <c r="M77" s="51" t="str">
        <f t="shared" si="1"/>
        <v/>
      </c>
    </row>
    <row r="78" spans="1:13">
      <c r="B78" s="108"/>
      <c r="C78" s="124"/>
      <c r="D78" s="122"/>
      <c r="E78" s="108"/>
      <c r="F78" s="108"/>
      <c r="G78" s="108"/>
      <c r="H78" s="121"/>
      <c r="I78" s="109"/>
      <c r="J78" s="102"/>
      <c r="K78" t="str">
        <f>IF(A78&gt;0,VLOOKUP(A78,טבלאות!$J:$K,2,0),"")</f>
        <v/>
      </c>
      <c r="L78" s="50" t="str">
        <f>IF(ISERROR(VLOOKUP(B78,טבלאות!$G:$H,2,0)),"",VLOOKUP(B78,טבלאות!$G:$H,2,0))</f>
        <v/>
      </c>
      <c r="M78" s="51" t="str">
        <f t="shared" si="1"/>
        <v/>
      </c>
    </row>
    <row r="79" spans="1:13">
      <c r="B79" s="108"/>
      <c r="C79" s="124"/>
      <c r="D79" s="122"/>
      <c r="E79" s="108"/>
      <c r="F79" s="108"/>
      <c r="G79" s="108"/>
      <c r="H79" s="121"/>
      <c r="I79" s="109"/>
      <c r="J79" s="102"/>
      <c r="K79" t="str">
        <f>IF(A79&gt;0,VLOOKUP(A79,טבלאות!$J:$K,2,0),"")</f>
        <v/>
      </c>
      <c r="L79" s="50" t="str">
        <f>IF(ISERROR(VLOOKUP(B79,טבלאות!$G:$H,2,0)),"",VLOOKUP(B79,טבלאות!$G:$H,2,0))</f>
        <v/>
      </c>
      <c r="M79" s="51" t="str">
        <f t="shared" si="1"/>
        <v/>
      </c>
    </row>
    <row r="80" spans="1:13">
      <c r="B80" s="108"/>
      <c r="C80" s="111"/>
      <c r="D80" s="122"/>
      <c r="E80" s="108"/>
      <c r="F80" s="108"/>
      <c r="G80" s="108"/>
      <c r="H80" s="121"/>
      <c r="I80" s="109"/>
      <c r="K80" t="str">
        <f>IF(A80&gt;0,VLOOKUP(A80,טבלאות!$J:$K,2,0),"")</f>
        <v/>
      </c>
      <c r="L80" s="50" t="str">
        <f>IF(ISERROR(VLOOKUP(B80,טבלאות!$G:$H,2,0)),"",VLOOKUP(B80,טבלאות!$G:$H,2,0))</f>
        <v/>
      </c>
      <c r="M80" s="51" t="str">
        <f t="shared" ref="M80:M85" si="2">IF(OR(L80="",L80="?"),"",IF(L80&gt;0,I81,""))</f>
        <v/>
      </c>
    </row>
    <row r="81" spans="1:13">
      <c r="B81" s="108"/>
      <c r="C81" s="111"/>
      <c r="D81" s="122"/>
      <c r="E81" s="108"/>
      <c r="F81" s="108"/>
      <c r="G81" s="108"/>
      <c r="H81" s="121"/>
      <c r="I81" s="109"/>
      <c r="K81" t="str">
        <f>IF(A81&gt;0,VLOOKUP(A81,טבלאות!$J:$K,2,0),"")</f>
        <v/>
      </c>
      <c r="L81" s="50" t="str">
        <f>IF(ISERROR(VLOOKUP(B81,טבלאות!$G:$H,2,0)),"",VLOOKUP(B81,טבלאות!$G:$H,2,0))</f>
        <v/>
      </c>
      <c r="M81" s="51" t="str">
        <f t="shared" si="2"/>
        <v/>
      </c>
    </row>
    <row r="82" spans="1:13">
      <c r="B82" s="108"/>
      <c r="C82" s="111"/>
      <c r="D82" s="122"/>
      <c r="E82" s="108"/>
      <c r="F82" s="108"/>
      <c r="G82" s="108"/>
      <c r="H82" s="121"/>
      <c r="I82" s="109"/>
      <c r="K82" t="str">
        <f>IF(A82&gt;0,VLOOKUP(A82,טבלאות!$J:$K,2,0),"")</f>
        <v/>
      </c>
      <c r="L82" s="50" t="str">
        <f>IF(ISERROR(VLOOKUP(B82,טבלאות!$G:$H,2,0)),"",VLOOKUP(B82,טבלאות!$G:$H,2,0))</f>
        <v/>
      </c>
      <c r="M82" s="51" t="str">
        <f t="shared" si="2"/>
        <v/>
      </c>
    </row>
    <row r="83" spans="1:13">
      <c r="B83" s="108"/>
      <c r="C83" s="111"/>
      <c r="D83" s="122"/>
      <c r="E83" s="108"/>
      <c r="F83" s="108"/>
      <c r="G83" s="108"/>
      <c r="H83" s="121"/>
      <c r="I83" s="109"/>
      <c r="K83" t="str">
        <f>IF(A83&gt;0,VLOOKUP(A83,טבלאות!$J:$K,2,0),"")</f>
        <v/>
      </c>
      <c r="L83" s="50" t="str">
        <f>IF(ISERROR(VLOOKUP(B83,טבלאות!$G:$H,2,0)),"",VLOOKUP(B83,טבלאות!$G:$H,2,0))</f>
        <v/>
      </c>
      <c r="M83" s="51" t="str">
        <f t="shared" si="2"/>
        <v/>
      </c>
    </row>
    <row r="84" spans="1:13">
      <c r="B84" s="108"/>
      <c r="C84" s="111"/>
      <c r="D84" s="122"/>
      <c r="E84" s="108"/>
      <c r="F84" s="108"/>
      <c r="G84" s="108"/>
      <c r="H84" s="121"/>
      <c r="I84" s="109"/>
      <c r="K84" t="str">
        <f>IF(A84&gt;0,VLOOKUP(A84,טבלאות!$J:$K,2,0),"")</f>
        <v/>
      </c>
      <c r="L84" s="50" t="str">
        <f>IF(ISERROR(VLOOKUP(B84,טבלאות!$G:$H,2,0)),"",VLOOKUP(B84,טבלאות!$G:$H,2,0))</f>
        <v/>
      </c>
      <c r="M84" s="51" t="str">
        <f t="shared" si="2"/>
        <v/>
      </c>
    </row>
    <row r="85" spans="1:13">
      <c r="B85" s="108"/>
      <c r="C85" s="111"/>
      <c r="D85" s="122"/>
      <c r="E85" s="108"/>
      <c r="F85" s="108"/>
      <c r="G85" s="108"/>
      <c r="H85" s="121"/>
      <c r="I85" s="109"/>
      <c r="K85" t="str">
        <f>IF(A85&gt;0,VLOOKUP(A85,טבלאות!$J:$K,2,0),"")</f>
        <v/>
      </c>
      <c r="L85" s="50" t="str">
        <f>IF(ISERROR(VLOOKUP(B85,טבלאות!$G:$H,2,0)),"",VLOOKUP(B85,טבלאות!$G:$H,2,0))</f>
        <v/>
      </c>
      <c r="M85" s="51" t="str">
        <f t="shared" si="2"/>
        <v/>
      </c>
    </row>
    <row r="86" spans="1:13">
      <c r="A86" s="108"/>
      <c r="B86" s="108"/>
      <c r="C86" s="108"/>
      <c r="D86" s="109"/>
      <c r="E86" s="108"/>
      <c r="F86" s="108"/>
      <c r="G86" s="108"/>
      <c r="H86" s="108"/>
      <c r="I86" s="109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>IF(OR(L86="",L86="?"),"",IF(L86&gt;0,#REF!,""))</f>
        <v/>
      </c>
    </row>
    <row r="87" spans="1:13">
      <c r="A87" s="108"/>
      <c r="B87" s="108"/>
      <c r="C87" s="108"/>
      <c r="D87" s="109"/>
      <c r="E87" s="108"/>
      <c r="F87" s="108"/>
      <c r="G87" s="108"/>
      <c r="H87" s="108"/>
      <c r="I87" s="109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1"/>
        <v/>
      </c>
    </row>
    <row r="88" spans="1:13">
      <c r="A88" s="108"/>
      <c r="B88" s="108"/>
      <c r="C88" s="108"/>
      <c r="D88" s="109"/>
      <c r="E88" s="108"/>
      <c r="F88" s="108"/>
      <c r="G88" s="108"/>
      <c r="H88" s="108"/>
      <c r="I88" s="109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1"/>
        <v/>
      </c>
    </row>
    <row r="89" spans="1:13">
      <c r="A89" s="108"/>
      <c r="B89" s="108"/>
      <c r="C89" s="108"/>
      <c r="D89" s="109"/>
      <c r="E89" s="108"/>
      <c r="F89" s="108"/>
      <c r="G89" s="108"/>
      <c r="H89" s="108"/>
      <c r="I89" s="109"/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1"/>
        <v/>
      </c>
    </row>
    <row r="90" spans="1:13">
      <c r="B90" s="105"/>
      <c r="C90" s="112"/>
      <c r="D90" s="106"/>
      <c r="E90" s="105"/>
      <c r="F90" s="105"/>
      <c r="G90" s="105"/>
      <c r="H90" s="108"/>
      <c r="I90" s="106"/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1"/>
        <v/>
      </c>
    </row>
    <row r="91" spans="1:13">
      <c r="B91" s="105"/>
      <c r="C91" s="112"/>
      <c r="D91" s="106"/>
      <c r="H91" s="108"/>
      <c r="I91" s="106"/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1"/>
        <v/>
      </c>
    </row>
    <row r="92" spans="1:13">
      <c r="B92" s="105"/>
      <c r="C92" s="112"/>
      <c r="D92" s="77"/>
      <c r="H92" s="108"/>
      <c r="I92" s="77"/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1"/>
        <v/>
      </c>
    </row>
    <row r="93" spans="1:13">
      <c r="B93" s="105"/>
      <c r="C93" s="112"/>
      <c r="D93" s="77"/>
      <c r="H93" s="108"/>
      <c r="I93" s="77"/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1"/>
        <v/>
      </c>
    </row>
    <row r="94" spans="1:13">
      <c r="B94" s="105"/>
      <c r="C94" s="112"/>
      <c r="D94" s="77"/>
      <c r="H94" s="108"/>
      <c r="I94" s="77"/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1"/>
        <v/>
      </c>
    </row>
    <row r="95" spans="1:13">
      <c r="B95" s="105"/>
      <c r="C95" s="112"/>
      <c r="D95" s="77"/>
      <c r="H95" s="108"/>
      <c r="I95" s="77"/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1"/>
        <v/>
      </c>
    </row>
    <row r="96" spans="1:13">
      <c r="C96" s="55"/>
      <c r="D96" s="77"/>
      <c r="H96" s="108"/>
      <c r="I96" s="77"/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1"/>
        <v/>
      </c>
    </row>
    <row r="97" spans="3:13">
      <c r="C97" s="55"/>
      <c r="D97" s="77"/>
      <c r="H97" s="108"/>
      <c r="I97" s="77"/>
      <c r="L97" s="50" t="str">
        <f>IF(ISERROR(VLOOKUP(B97,טבלאות!$G:$H,2,0)),"",VLOOKUP(B97,טבלאות!$G:$H,2,0))</f>
        <v/>
      </c>
      <c r="M97" s="51" t="str">
        <f t="shared" si="1"/>
        <v/>
      </c>
    </row>
    <row r="98" spans="3:13">
      <c r="C98" s="55"/>
      <c r="D98" s="77"/>
      <c r="H98" s="108"/>
      <c r="I98" s="77"/>
      <c r="L98" s="50" t="str">
        <f>IF(ISERROR(VLOOKUP(B98,טבלאות!$G:$H,2,0)),"",VLOOKUP(B98,טבלאות!$G:$H,2,0))</f>
        <v/>
      </c>
      <c r="M98" s="51" t="str">
        <f t="shared" si="1"/>
        <v/>
      </c>
    </row>
    <row r="99" spans="3:13">
      <c r="L99" s="50" t="str">
        <f>IF(ISERROR(VLOOKUP(B99,טבלאות!$G:$H,2,0)),"",VLOOKUP(B99,טבלאות!$G:$H,2,0))</f>
        <v/>
      </c>
      <c r="M99" s="51" t="str">
        <f t="shared" si="1"/>
        <v/>
      </c>
    </row>
    <row r="100" spans="3:13">
      <c r="L100" s="50" t="str">
        <f>IF(ISERROR(VLOOKUP(B100,טבלאות!$G:$H,2,0)),"",VLOOKUP(B100,טבלאות!$G:$H,2,0))</f>
        <v/>
      </c>
      <c r="M100" s="51" t="str">
        <f t="shared" si="1"/>
        <v/>
      </c>
    </row>
    <row r="101" spans="3:13">
      <c r="L101" s="50" t="str">
        <f>IF(ISERROR(VLOOKUP(B101,טבלאות!$G:$H,2,0)),"",VLOOKUP(B101,טבלאות!$G:$H,2,0))</f>
        <v/>
      </c>
      <c r="M101" s="51" t="str">
        <f t="shared" si="1"/>
        <v/>
      </c>
    </row>
    <row r="102" spans="3:13">
      <c r="L102" s="50" t="str">
        <f>IF(ISERROR(VLOOKUP(B102,טבלאות!$G:$H,2,0)),"",VLOOKUP(B102,טבלאות!$G:$H,2,0))</f>
        <v/>
      </c>
      <c r="M102" s="51" t="str">
        <f t="shared" si="1"/>
        <v/>
      </c>
    </row>
    <row r="103" spans="3:13">
      <c r="L103" s="50" t="str">
        <f>IF(ISERROR(VLOOKUP(B103,טבלאות!$G:$H,2,0)),"",VLOOKUP(B103,טבלאות!$G:$H,2,0))</f>
        <v/>
      </c>
      <c r="M103" s="51" t="str">
        <f t="shared" si="1"/>
        <v/>
      </c>
    </row>
    <row r="104" spans="3:13"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3:13">
      <c r="L105" s="50" t="str">
        <f>IF(ISERROR(VLOOKUP(B105,טבלאות!$G:$H,2,0)),"",VLOOKUP(B105,טבלאות!$G:$H,2,0))</f>
        <v/>
      </c>
      <c r="M105" s="51" t="str">
        <f t="shared" si="1"/>
        <v/>
      </c>
    </row>
    <row r="106" spans="3:13">
      <c r="L106" s="50" t="str">
        <f>IF(ISERROR(VLOOKUP(B106,טבלאות!$G:$H,2,0)),"",VLOOKUP(B106,טבלאות!$G:$H,2,0))</f>
        <v/>
      </c>
      <c r="M106" s="51" t="str">
        <f t="shared" si="1"/>
        <v/>
      </c>
    </row>
    <row r="107" spans="3:13">
      <c r="L107" s="50" t="str">
        <f>IF(ISERROR(VLOOKUP(B107,טבלאות!$G:$H,2,0)),"",VLOOKUP(B107,טבלאות!$G:$H,2,0))</f>
        <v/>
      </c>
      <c r="M107" s="51" t="str">
        <f t="shared" si="1"/>
        <v/>
      </c>
    </row>
    <row r="108" spans="3:13">
      <c r="L108" s="50" t="str">
        <f>IF(ISERROR(VLOOKUP(B108,טבלאות!$G:$H,2,0)),"",VLOOKUP(B108,טבלאות!$G:$H,2,0))</f>
        <v/>
      </c>
      <c r="M108" s="51" t="str">
        <f t="shared" si="1"/>
        <v/>
      </c>
    </row>
    <row r="109" spans="3:13"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3:13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3:13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3:13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>
      <c r="L113" s="50" t="str">
        <f>IF(ISERROR(VLOOKUP(B113,טבלאות!$G:$H,2,0)),"",VLOOKUP(B113,טבלאות!$G:$H,2,0))</f>
        <v/>
      </c>
      <c r="M113" s="51" t="str">
        <f t="shared" si="1"/>
        <v/>
      </c>
    </row>
  </sheetData>
  <autoFilter ref="A1:N98" xr:uid="{00000000-0009-0000-0000-00000C000000}"/>
  <conditionalFormatting sqref="L2:L113">
    <cfRule type="cellIs" dxfId="3" priority="1" operator="equal">
      <formula>""</formula>
    </cfRule>
  </conditionalFormatting>
  <dataValidations count="2">
    <dataValidation type="list" allowBlank="1" showInputMessage="1" showErrorMessage="1" sqref="L2:L113" xr:uid="{F035D6C3-6A08-4821-8842-18D60E67CE0A}">
      <formula1>סוגי_הוצאות</formula1>
    </dataValidation>
    <dataValidation type="list" allowBlank="1" showInputMessage="1" showErrorMessage="1" sqref="K2:K113" xr:uid="{FB034040-E22F-4EF1-99C8-236CCB640E2C}">
      <formula1>סוג_כרטיס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G239"/>
  <sheetViews>
    <sheetView showGridLines="0" rightToLeft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22" sqref="A222:I239"/>
    </sheetView>
  </sheetViews>
  <sheetFormatPr defaultRowHeight="15"/>
  <cols>
    <col min="1" max="1" width="16.42578125" customWidth="1"/>
    <col min="2" max="2" width="28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1" max="11" width="12.140625" style="73" customWidth="1"/>
    <col min="12" max="12" width="17" style="73" bestFit="1" customWidth="1"/>
    <col min="13" max="13" width="9.140625" style="73"/>
    <col min="14" max="14" width="66.7109375" bestFit="1" customWidth="1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>
      <c r="A2" s="105"/>
      <c r="B2" s="105"/>
      <c r="C2" s="105"/>
      <c r="D2" s="106"/>
      <c r="E2" s="105"/>
      <c r="F2" s="105"/>
      <c r="G2" s="105"/>
      <c r="H2" s="105"/>
      <c r="I2" s="106"/>
      <c r="J2" s="102"/>
      <c r="K2" t="str">
        <f>IF(A2&gt;0,VLOOKUP(A2,טבלאות!$J:$K,2,0),"")</f>
        <v/>
      </c>
      <c r="L2" s="50" t="str">
        <f>IF(ISERROR(VLOOKUP(B2,טבלאות!$G:$H,2,0)),"",VLOOKUP(B2,טבלאות!$G:$H,2,0))</f>
        <v/>
      </c>
      <c r="M2" s="51" t="str">
        <f t="shared" ref="M2:M65" si="0">IF(OR(L2="",L2="?"),"",IF(L2&gt;0,I2,""))</f>
        <v/>
      </c>
    </row>
    <row r="3" spans="1:111" s="36" customFormat="1" ht="19.5" customHeight="1">
      <c r="A3" s="105"/>
      <c r="B3" s="105"/>
      <c r="C3" s="105"/>
      <c r="D3" s="106"/>
      <c r="E3" s="105"/>
      <c r="F3" s="105"/>
      <c r="G3" s="105"/>
      <c r="H3" s="105"/>
      <c r="I3" s="106"/>
      <c r="J3" s="102"/>
      <c r="K3" t="str">
        <f>IF(A3&gt;0,VLOOKUP(A3,טבלאות!$J:$K,2,0),"")</f>
        <v/>
      </c>
      <c r="L3" s="50" t="str">
        <f>IF(ISERROR(VLOOKUP(B3,טבלאות!$G:$H,2,0)),"",VLOOKUP(B3,טבלאות!$G:$H,2,0))</f>
        <v/>
      </c>
      <c r="M3" s="51" t="str">
        <f t="shared" si="0"/>
        <v/>
      </c>
      <c r="N3"/>
    </row>
    <row r="4" spans="1:111" ht="15" customHeight="1">
      <c r="A4" s="105"/>
      <c r="B4" s="105"/>
      <c r="C4" s="105"/>
      <c r="D4" s="106"/>
      <c r="E4" s="105"/>
      <c r="F4" s="105"/>
      <c r="G4" s="105"/>
      <c r="H4" s="105"/>
      <c r="I4" s="106"/>
      <c r="J4" s="102"/>
      <c r="K4" t="str">
        <f>IF(A4&gt;0,VLOOKUP(A4,טבלאות!$J:$K,2,0),"")</f>
        <v/>
      </c>
      <c r="L4" s="50" t="str">
        <f>IF(ISERROR(VLOOKUP(B4,טבלאות!$G:$H,2,0)),"",VLOOKUP(B4,טבלאות!$G:$H,2,0))</f>
        <v/>
      </c>
      <c r="M4" s="51" t="str">
        <f t="shared" si="0"/>
        <v/>
      </c>
    </row>
    <row r="5" spans="1:111" ht="15" customHeight="1">
      <c r="A5" s="105"/>
      <c r="B5" s="105"/>
      <c r="C5" s="105"/>
      <c r="D5" s="106"/>
      <c r="E5" s="105"/>
      <c r="F5" s="105"/>
      <c r="G5" s="105"/>
      <c r="H5" s="105"/>
      <c r="I5" s="106"/>
      <c r="J5" s="102"/>
      <c r="K5" t="str">
        <f>IF(A5&gt;0,VLOOKUP(A5,טבלאות!$J:$K,2,0),"")</f>
        <v/>
      </c>
      <c r="L5" s="50" t="str">
        <f>IF(ISERROR(VLOOKUP(B5,טבלאות!$G:$H,2,0)),"",VLOOKUP(B5,טבלאות!$G:$H,2,0))</f>
        <v/>
      </c>
      <c r="M5" s="51" t="str">
        <f t="shared" si="0"/>
        <v/>
      </c>
    </row>
    <row r="6" spans="1:111" ht="20.25" customHeight="1">
      <c r="A6" s="105"/>
      <c r="B6" s="105"/>
      <c r="C6" s="105"/>
      <c r="D6" s="106"/>
      <c r="E6" s="105"/>
      <c r="F6" s="105"/>
      <c r="G6" s="105"/>
      <c r="H6" s="105"/>
      <c r="I6" s="106"/>
      <c r="J6" s="102"/>
      <c r="K6" t="str">
        <f>IF(A6&gt;0,VLOOKUP(A6,טבלאות!$J:$K,2,0),"")</f>
        <v/>
      </c>
      <c r="L6" s="50" t="str">
        <f>IF(ISERROR(VLOOKUP(B6,טבלאות!$G:$H,2,0)),"",VLOOKUP(B6,טבלאות!$G:$H,2,0))</f>
        <v/>
      </c>
      <c r="M6" s="51" t="str">
        <f t="shared" si="0"/>
        <v/>
      </c>
    </row>
    <row r="7" spans="1:111" ht="15.75" customHeight="1">
      <c r="A7" s="105"/>
      <c r="B7" s="105"/>
      <c r="C7" s="105"/>
      <c r="D7" s="106"/>
      <c r="E7" s="105"/>
      <c r="F7" s="105"/>
      <c r="G7" s="105"/>
      <c r="H7" s="105"/>
      <c r="I7" s="106"/>
      <c r="J7" s="102"/>
      <c r="K7" t="str">
        <f>IF(A7&gt;0,VLOOKUP(A7,טבלאות!$J:$K,2,0),"")</f>
        <v/>
      </c>
      <c r="L7" s="50" t="str">
        <f>IF(ISERROR(VLOOKUP(B7,טבלאות!$G:$H,2,0)),"",VLOOKUP(B7,טבלאות!$G:$H,2,0))</f>
        <v/>
      </c>
      <c r="M7" s="51" t="str">
        <f t="shared" si="0"/>
        <v/>
      </c>
    </row>
    <row r="8" spans="1:111" ht="15" customHeight="1">
      <c r="A8" s="105"/>
      <c r="B8" s="105"/>
      <c r="C8" s="105"/>
      <c r="D8" s="106"/>
      <c r="E8" s="105"/>
      <c r="F8" s="105"/>
      <c r="G8" s="105"/>
      <c r="H8" s="105"/>
      <c r="I8" s="106"/>
      <c r="J8" s="102"/>
      <c r="K8" t="str">
        <f>IF(A8&gt;0,VLOOKUP(A8,טבלאות!$J:$K,2,0),"")</f>
        <v/>
      </c>
      <c r="L8" s="50" t="str">
        <f>IF(ISERROR(VLOOKUP(B8,טבלאות!$G:$H,2,0)),"",VLOOKUP(B8,טבלאות!$G:$H,2,0))</f>
        <v/>
      </c>
      <c r="M8" s="51" t="str">
        <f t="shared" si="0"/>
        <v/>
      </c>
    </row>
    <row r="9" spans="1:111" ht="15" customHeight="1">
      <c r="A9" s="105"/>
      <c r="B9" s="105"/>
      <c r="C9" s="105"/>
      <c r="D9" s="106"/>
      <c r="E9" s="105"/>
      <c r="F9" s="105"/>
      <c r="G9" s="105"/>
      <c r="H9" s="105"/>
      <c r="I9" s="106"/>
      <c r="J9" s="102"/>
      <c r="K9" t="str">
        <f>IF(A9&gt;0,VLOOKUP(A9,טבלאות!$J:$K,2,0),"")</f>
        <v/>
      </c>
      <c r="L9" s="50" t="str">
        <f>IF(ISERROR(VLOOKUP(B9,טבלאות!$G:$H,2,0)),"",VLOOKUP(B9,טבלאות!$G:$H,2,0))</f>
        <v/>
      </c>
      <c r="M9" s="51" t="str">
        <f t="shared" si="0"/>
        <v/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>
      <c r="A10" s="105"/>
      <c r="B10" s="105"/>
      <c r="C10" s="105"/>
      <c r="D10" s="106"/>
      <c r="E10" s="105"/>
      <c r="F10" s="105"/>
      <c r="G10" s="105"/>
      <c r="H10" s="105"/>
      <c r="I10" s="106"/>
      <c r="J10" s="102"/>
      <c r="K10" t="str">
        <f>IF(A10&gt;0,VLOOKUP(A10,טבלאות!$J:$K,2,0),"")</f>
        <v/>
      </c>
      <c r="L10" s="50" t="str">
        <f>IF(ISERROR(VLOOKUP(B10,טבלאות!$G:$H,2,0)),"",VLOOKUP(B10,טבלאות!$G:$H,2,0))</f>
        <v/>
      </c>
      <c r="M10" s="51" t="str">
        <f t="shared" si="0"/>
        <v/>
      </c>
    </row>
    <row r="11" spans="1:111">
      <c r="A11" s="105"/>
      <c r="B11" s="105"/>
      <c r="C11" s="105"/>
      <c r="D11" s="106"/>
      <c r="E11" s="105"/>
      <c r="F11" s="105"/>
      <c r="G11" s="105"/>
      <c r="H11" s="105"/>
      <c r="I11" s="106"/>
      <c r="J11" s="102"/>
      <c r="K11" t="str">
        <f>IF(A11&gt;0,VLOOKUP(A11,טבלאות!$J:$K,2,0),"")</f>
        <v/>
      </c>
      <c r="L11" s="50" t="str">
        <f>IF(ISERROR(VLOOKUP(B11,טבלאות!$G:$H,2,0)),"",VLOOKUP(B11,טבלאות!$G:$H,2,0))</f>
        <v/>
      </c>
      <c r="M11" s="51" t="str">
        <f t="shared" si="0"/>
        <v/>
      </c>
    </row>
    <row r="12" spans="1:111">
      <c r="A12" s="105"/>
      <c r="B12" s="105"/>
      <c r="C12" s="105"/>
      <c r="D12" s="106"/>
      <c r="E12" s="105"/>
      <c r="F12" s="105"/>
      <c r="G12" s="105"/>
      <c r="H12" s="105"/>
      <c r="I12" s="106"/>
      <c r="J12" s="102"/>
      <c r="K12" t="str">
        <f>IF(A12&gt;0,VLOOKUP(A12,טבלאות!$J:$K,2,0),"")</f>
        <v/>
      </c>
      <c r="L12" s="50" t="str">
        <f>IF(ISERROR(VLOOKUP(B12,טבלאות!$G:$H,2,0)),"",VLOOKUP(B12,טבלאות!$G:$H,2,0))</f>
        <v/>
      </c>
      <c r="M12" s="51" t="str">
        <f t="shared" si="0"/>
        <v/>
      </c>
    </row>
    <row r="13" spans="1:111">
      <c r="A13" s="105"/>
      <c r="B13" s="105"/>
      <c r="C13" s="105"/>
      <c r="D13" s="106"/>
      <c r="E13" s="105"/>
      <c r="F13" s="105"/>
      <c r="G13" s="105"/>
      <c r="H13" s="105"/>
      <c r="I13" s="106"/>
      <c r="J13" s="102"/>
      <c r="K13" t="str">
        <f>IF(A13&gt;0,VLOOKUP(A13,טבלאות!$J:$K,2,0),"")</f>
        <v/>
      </c>
      <c r="L13" s="50" t="str">
        <f>IF(ISERROR(VLOOKUP(B13,טבלאות!$G:$H,2,0)),"",VLOOKUP(B13,טבלאות!$G:$H,2,0))</f>
        <v/>
      </c>
      <c r="M13" s="51" t="str">
        <f t="shared" si="0"/>
        <v/>
      </c>
    </row>
    <row r="14" spans="1:111">
      <c r="A14" s="105"/>
      <c r="B14" s="105"/>
      <c r="C14" s="105"/>
      <c r="D14" s="106"/>
      <c r="E14" s="105"/>
      <c r="F14" s="105"/>
      <c r="G14" s="105"/>
      <c r="H14" s="105"/>
      <c r="I14" s="106"/>
      <c r="J14" s="102"/>
      <c r="K14" t="str">
        <f>IF(A14&gt;0,VLOOKUP(A14,טבלאות!$J:$K,2,0),"")</f>
        <v/>
      </c>
      <c r="L14" s="50" t="str">
        <f>IF(ISERROR(VLOOKUP(B14,טבלאות!$G:$H,2,0)),"",VLOOKUP(B14,טבלאות!$G:$H,2,0))</f>
        <v/>
      </c>
      <c r="M14" s="51" t="str">
        <f t="shared" si="0"/>
        <v/>
      </c>
    </row>
    <row r="15" spans="1:111">
      <c r="A15" s="105"/>
      <c r="B15" s="105"/>
      <c r="C15" s="105"/>
      <c r="D15" s="106"/>
      <c r="E15" s="105"/>
      <c r="F15" s="105"/>
      <c r="G15" s="105"/>
      <c r="H15" s="105"/>
      <c r="I15" s="106"/>
      <c r="J15" s="102"/>
      <c r="K15" t="str">
        <f>IF(A15&gt;0,VLOOKUP(A15,טבלאות!$J:$K,2,0),"")</f>
        <v/>
      </c>
      <c r="L15" s="50" t="str">
        <f>IF(ISERROR(VLOOKUP(B15,טבלאות!$G:$H,2,0)),"",VLOOKUP(B15,טבלאות!$G:$H,2,0))</f>
        <v/>
      </c>
      <c r="M15" s="51" t="str">
        <f t="shared" si="0"/>
        <v/>
      </c>
    </row>
    <row r="16" spans="1:111">
      <c r="A16" s="105"/>
      <c r="B16" s="105"/>
      <c r="C16" s="105"/>
      <c r="D16" s="106"/>
      <c r="E16" s="105"/>
      <c r="F16" s="105"/>
      <c r="G16" s="105"/>
      <c r="H16" s="105"/>
      <c r="I16" s="106"/>
      <c r="J16" s="102"/>
      <c r="K16" t="str">
        <f>IF(A16&gt;0,VLOOKUP(A16,טבלאות!$J:$K,2,0),"")</f>
        <v/>
      </c>
      <c r="L16" s="50" t="str">
        <f>IF(ISERROR(VLOOKUP(B16,טבלאות!$G:$H,2,0)),"",VLOOKUP(B16,טבלאות!$G:$H,2,0))</f>
        <v/>
      </c>
      <c r="M16" s="51" t="str">
        <f t="shared" si="0"/>
        <v/>
      </c>
    </row>
    <row r="17" spans="1:13">
      <c r="A17" s="105"/>
      <c r="B17" s="105"/>
      <c r="C17" s="105"/>
      <c r="D17" s="106"/>
      <c r="E17" s="105"/>
      <c r="F17" s="105"/>
      <c r="G17" s="105"/>
      <c r="H17" s="105"/>
      <c r="I17" s="106"/>
      <c r="J17" s="102"/>
      <c r="K17" t="str">
        <f>IF(A17&gt;0,VLOOKUP(A17,טבלאות!$J:$K,2,0),"")</f>
        <v/>
      </c>
      <c r="L17" s="50" t="str">
        <f>IF(ISERROR(VLOOKUP(B17,טבלאות!$G:$H,2,0)),"",VLOOKUP(B17,טבלאות!$G:$H,2,0))</f>
        <v/>
      </c>
      <c r="M17" s="51" t="str">
        <f t="shared" si="0"/>
        <v/>
      </c>
    </row>
    <row r="18" spans="1:13">
      <c r="A18" s="105"/>
      <c r="B18" s="105"/>
      <c r="C18" s="105"/>
      <c r="D18" s="106"/>
      <c r="E18" s="105"/>
      <c r="F18" s="105"/>
      <c r="G18" s="105"/>
      <c r="H18" s="105"/>
      <c r="I18" s="106"/>
      <c r="J18" s="102"/>
      <c r="K18" t="str">
        <f>IF(A18&gt;0,VLOOKUP(A18,טבלאות!$J:$K,2,0),"")</f>
        <v/>
      </c>
      <c r="L18" s="50" t="str">
        <f>IF(ISERROR(VLOOKUP(B18,טבלאות!$G:$H,2,0)),"",VLOOKUP(B18,טבלאות!$G:$H,2,0))</f>
        <v/>
      </c>
      <c r="M18" s="51" t="str">
        <f t="shared" si="0"/>
        <v/>
      </c>
    </row>
    <row r="19" spans="1:13">
      <c r="A19" s="105"/>
      <c r="B19" s="105"/>
      <c r="C19" s="105"/>
      <c r="D19" s="106"/>
      <c r="E19" s="105"/>
      <c r="F19" s="105"/>
      <c r="G19" s="105"/>
      <c r="H19" s="105"/>
      <c r="I19" s="106"/>
      <c r="J19" s="102"/>
      <c r="K19" t="str">
        <f>IF(A19&gt;0,VLOOKUP(A19,טבלאות!$J:$K,2,0),"")</f>
        <v/>
      </c>
      <c r="L19" s="50" t="str">
        <f>IF(ISERROR(VLOOKUP(B19,טבלאות!$G:$H,2,0)),"",VLOOKUP(B19,טבלאות!$G:$H,2,0))</f>
        <v/>
      </c>
      <c r="M19" s="51" t="str">
        <f t="shared" si="0"/>
        <v/>
      </c>
    </row>
    <row r="20" spans="1:13">
      <c r="A20" s="105"/>
      <c r="B20" s="105"/>
      <c r="C20" s="105"/>
      <c r="D20" s="106"/>
      <c r="E20" s="105"/>
      <c r="F20" s="105"/>
      <c r="G20" s="105"/>
      <c r="H20" s="105"/>
      <c r="I20" s="106"/>
      <c r="J20" s="102"/>
      <c r="K20" t="str">
        <f>IF(A20&gt;0,VLOOKUP(A20,טבלאות!$J:$K,2,0),"")</f>
        <v/>
      </c>
      <c r="L20" s="50" t="str">
        <f>IF(ISERROR(VLOOKUP(B20,טבלאות!$G:$H,2,0)),"",VLOOKUP(B20,טבלאות!$G:$H,2,0))</f>
        <v/>
      </c>
      <c r="M20" s="51" t="str">
        <f t="shared" si="0"/>
        <v/>
      </c>
    </row>
    <row r="21" spans="1:13">
      <c r="A21" s="105"/>
      <c r="B21" s="105"/>
      <c r="C21" s="105"/>
      <c r="D21" s="106"/>
      <c r="E21" s="105"/>
      <c r="F21" s="105"/>
      <c r="G21" s="105"/>
      <c r="H21" s="105"/>
      <c r="I21" s="106"/>
      <c r="J21" s="102"/>
      <c r="K21" t="str">
        <f>IF(A21&gt;0,VLOOKUP(A21,טבלאות!$J:$K,2,0),"")</f>
        <v/>
      </c>
      <c r="L21" s="50" t="str">
        <f>IF(ISERROR(VLOOKUP(B21,טבלאות!$G:$H,2,0)),"",VLOOKUP(B21,טבלאות!$G:$H,2,0))</f>
        <v/>
      </c>
      <c r="M21" s="51" t="str">
        <f t="shared" si="0"/>
        <v/>
      </c>
    </row>
    <row r="22" spans="1:13">
      <c r="A22" s="105"/>
      <c r="B22" s="105"/>
      <c r="C22" s="105"/>
      <c r="D22" s="106"/>
      <c r="E22" s="105"/>
      <c r="F22" s="105"/>
      <c r="G22" s="105"/>
      <c r="H22" s="105"/>
      <c r="I22" s="106"/>
      <c r="J22" s="102"/>
      <c r="K22" t="str">
        <f>IF(A22&gt;0,VLOOKUP(A22,טבלאות!$J:$K,2,0),"")</f>
        <v/>
      </c>
      <c r="L22" s="50" t="str">
        <f>IF(ISERROR(VLOOKUP(B22,טבלאות!$G:$H,2,0)),"",VLOOKUP(B22,טבלאות!$G:$H,2,0))</f>
        <v/>
      </c>
      <c r="M22" s="51" t="str">
        <f t="shared" si="0"/>
        <v/>
      </c>
    </row>
    <row r="23" spans="1:13">
      <c r="A23" s="105"/>
      <c r="B23" s="105"/>
      <c r="C23" s="105"/>
      <c r="D23" s="106"/>
      <c r="E23" s="105"/>
      <c r="F23" s="105"/>
      <c r="G23" s="105"/>
      <c r="H23" s="105"/>
      <c r="I23" s="106"/>
      <c r="J23" s="102"/>
      <c r="K23" t="str">
        <f>IF(A23&gt;0,VLOOKUP(A23,טבלאות!$J:$K,2,0),"")</f>
        <v/>
      </c>
      <c r="L23" s="50" t="str">
        <f>IF(ISERROR(VLOOKUP(B23,טבלאות!$G:$H,2,0)),"",VLOOKUP(B23,טבלאות!$G:$H,2,0))</f>
        <v/>
      </c>
      <c r="M23" s="51" t="str">
        <f t="shared" si="0"/>
        <v/>
      </c>
    </row>
    <row r="24" spans="1:13">
      <c r="A24" s="105"/>
      <c r="B24" s="105"/>
      <c r="C24" s="105"/>
      <c r="D24" s="106"/>
      <c r="E24" s="105"/>
      <c r="F24" s="105"/>
      <c r="G24" s="105"/>
      <c r="H24" s="105"/>
      <c r="I24" s="106"/>
      <c r="J24" s="102"/>
      <c r="K24" t="str">
        <f>IF(A24&gt;0,VLOOKUP(A24,טבלאות!$J:$K,2,0),"")</f>
        <v/>
      </c>
      <c r="L24" s="50" t="str">
        <f>IF(ISERROR(VLOOKUP(B24,טבלאות!$G:$H,2,0)),"",VLOOKUP(B24,טבלאות!$G:$H,2,0))</f>
        <v/>
      </c>
      <c r="M24" s="51" t="str">
        <f t="shared" si="0"/>
        <v/>
      </c>
    </row>
    <row r="25" spans="1:13">
      <c r="A25" s="105"/>
      <c r="B25" s="105"/>
      <c r="C25" s="105"/>
      <c r="D25" s="106"/>
      <c r="E25" s="105"/>
      <c r="F25" s="105"/>
      <c r="G25" s="105"/>
      <c r="H25" s="105"/>
      <c r="I25" s="106"/>
      <c r="J25" s="102"/>
      <c r="K25" t="str">
        <f>IF(A25&gt;0,VLOOKUP(A25,טבלאות!$J:$K,2,0),"")</f>
        <v/>
      </c>
      <c r="L25" s="50" t="str">
        <f>IF(ISERROR(VLOOKUP(B25,טבלאות!$G:$H,2,0)),"",VLOOKUP(B25,טבלאות!$G:$H,2,0))</f>
        <v/>
      </c>
      <c r="M25" s="51" t="str">
        <f t="shared" si="0"/>
        <v/>
      </c>
    </row>
    <row r="26" spans="1:13">
      <c r="A26" s="105"/>
      <c r="B26" s="105"/>
      <c r="C26" s="105"/>
      <c r="D26" s="106"/>
      <c r="E26" s="105"/>
      <c r="F26" s="105"/>
      <c r="G26" s="105"/>
      <c r="H26" s="105"/>
      <c r="I26" s="106"/>
      <c r="J26" s="102"/>
      <c r="K26" t="str">
        <f>IF(A26&gt;0,VLOOKUP(A26,טבלאות!$J:$K,2,0),"")</f>
        <v/>
      </c>
      <c r="L26" s="50" t="str">
        <f>IF(ISERROR(VLOOKUP(B26,טבלאות!$G:$H,2,0)),"",VLOOKUP(B26,טבלאות!$G:$H,2,0))</f>
        <v/>
      </c>
      <c r="M26" s="51" t="str">
        <f t="shared" si="0"/>
        <v/>
      </c>
    </row>
    <row r="27" spans="1:13">
      <c r="A27" s="105"/>
      <c r="B27" s="105"/>
      <c r="C27" s="105"/>
      <c r="D27" s="106"/>
      <c r="E27" s="105"/>
      <c r="F27" s="105"/>
      <c r="G27" s="105"/>
      <c r="H27" s="105"/>
      <c r="I27" s="106"/>
      <c r="J27" s="102"/>
      <c r="K27" t="str">
        <f>IF(A27&gt;0,VLOOKUP(A27,טבלאות!$J:$K,2,0),"")</f>
        <v/>
      </c>
      <c r="L27" s="50" t="str">
        <f>IF(ISERROR(VLOOKUP(B27,טבלאות!$G:$H,2,0)),"",VLOOKUP(B27,טבלאות!$G:$H,2,0))</f>
        <v/>
      </c>
      <c r="M27" s="51" t="str">
        <f t="shared" si="0"/>
        <v/>
      </c>
    </row>
    <row r="28" spans="1:13">
      <c r="A28" s="105"/>
      <c r="B28" s="105"/>
      <c r="C28" s="105"/>
      <c r="D28" s="106"/>
      <c r="E28" s="105"/>
      <c r="F28" s="105"/>
      <c r="G28" s="105"/>
      <c r="H28" s="105"/>
      <c r="I28" s="106"/>
      <c r="J28" s="102"/>
      <c r="K28" t="str">
        <f>IF(A28&gt;0,VLOOKUP(A28,טבלאות!$J:$K,2,0),"")</f>
        <v/>
      </c>
      <c r="L28" s="50" t="str">
        <f>IF(ISERROR(VLOOKUP(B28,טבלאות!$G:$H,2,0)),"",VLOOKUP(B28,טבלאות!$G:$H,2,0))</f>
        <v/>
      </c>
      <c r="M28" s="51" t="str">
        <f t="shared" si="0"/>
        <v/>
      </c>
    </row>
    <row r="29" spans="1:13">
      <c r="A29" s="105"/>
      <c r="B29" s="105"/>
      <c r="C29" s="105"/>
      <c r="D29" s="106"/>
      <c r="E29" s="105"/>
      <c r="F29" s="105"/>
      <c r="G29" s="105"/>
      <c r="H29" s="105"/>
      <c r="I29" s="106"/>
      <c r="J29" s="102"/>
      <c r="K29" t="str">
        <f>IF(A29&gt;0,VLOOKUP(A29,טבלאות!$J:$K,2,0),"")</f>
        <v/>
      </c>
      <c r="L29" s="50" t="str">
        <f>IF(ISERROR(VLOOKUP(B29,טבלאות!$G:$H,2,0)),"",VLOOKUP(B29,טבלאות!$G:$H,2,0))</f>
        <v/>
      </c>
      <c r="M29" s="51" t="str">
        <f t="shared" si="0"/>
        <v/>
      </c>
    </row>
    <row r="30" spans="1:13">
      <c r="A30" s="105"/>
      <c r="B30" s="105"/>
      <c r="C30" s="105"/>
      <c r="D30" s="106"/>
      <c r="E30" s="105"/>
      <c r="F30" s="105"/>
      <c r="G30" s="105"/>
      <c r="H30" s="105"/>
      <c r="I30" s="106"/>
      <c r="J30" s="102"/>
      <c r="K30" t="str">
        <f>IF(A30&gt;0,VLOOKUP(A30,טבלאות!$J:$K,2,0),"")</f>
        <v/>
      </c>
      <c r="L30" s="50" t="str">
        <f>IF(ISERROR(VLOOKUP(B30,טבלאות!$G:$H,2,0)),"",VLOOKUP(B30,טבלאות!$G:$H,2,0))</f>
        <v/>
      </c>
      <c r="M30" s="51" t="str">
        <f t="shared" si="0"/>
        <v/>
      </c>
    </row>
    <row r="31" spans="1:13">
      <c r="A31" s="105"/>
      <c r="B31" s="105"/>
      <c r="C31" s="105"/>
      <c r="D31" s="106"/>
      <c r="E31" s="105"/>
      <c r="F31" s="105"/>
      <c r="G31" s="105"/>
      <c r="H31" s="105"/>
      <c r="I31" s="106"/>
      <c r="J31" s="102"/>
      <c r="K31" t="str">
        <f>IF(A31&gt;0,VLOOKUP(A31,טבלאות!$J:$K,2,0),"")</f>
        <v/>
      </c>
      <c r="L31" s="50" t="str">
        <f>IF(ISERROR(VLOOKUP(B31,טבלאות!$G:$H,2,0)),"",VLOOKUP(B31,טבלאות!$G:$H,2,0))</f>
        <v/>
      </c>
      <c r="M31" s="51" t="str">
        <f t="shared" si="0"/>
        <v/>
      </c>
    </row>
    <row r="32" spans="1:13">
      <c r="A32" s="105"/>
      <c r="B32" s="105"/>
      <c r="C32" s="105"/>
      <c r="D32" s="106"/>
      <c r="E32" s="105"/>
      <c r="F32" s="105"/>
      <c r="G32" s="105"/>
      <c r="H32" s="105"/>
      <c r="I32" s="106"/>
      <c r="J32" s="102"/>
      <c r="K32" t="str">
        <f>IF(A32&gt;0,VLOOKUP(A32,טבלאות!$J:$K,2,0),"")</f>
        <v/>
      </c>
      <c r="L32" s="50" t="str">
        <f>IF(ISERROR(VLOOKUP(B32,טבלאות!$G:$H,2,0)),"",VLOOKUP(B32,טבלאות!$G:$H,2,0))</f>
        <v/>
      </c>
      <c r="M32" s="51" t="str">
        <f t="shared" si="0"/>
        <v/>
      </c>
    </row>
    <row r="33" spans="1:13">
      <c r="A33" s="105"/>
      <c r="B33" s="105"/>
      <c r="C33" s="105"/>
      <c r="D33" s="106"/>
      <c r="E33" s="105"/>
      <c r="F33" s="105"/>
      <c r="G33" s="105"/>
      <c r="H33" s="105"/>
      <c r="I33" s="106"/>
      <c r="J33" s="102"/>
      <c r="K33" t="str">
        <f>IF(A33&gt;0,VLOOKUP(A33,טבלאות!$J:$K,2,0),"")</f>
        <v/>
      </c>
      <c r="L33" s="50" t="str">
        <f>IF(ISERROR(VLOOKUP(B33,טבלאות!$G:$H,2,0)),"",VLOOKUP(B33,טבלאות!$G:$H,2,0))</f>
        <v/>
      </c>
      <c r="M33" s="51" t="str">
        <f t="shared" si="0"/>
        <v/>
      </c>
    </row>
    <row r="34" spans="1:13">
      <c r="A34" s="105"/>
      <c r="B34" s="105"/>
      <c r="C34" s="105"/>
      <c r="D34" s="106"/>
      <c r="E34" s="105"/>
      <c r="F34" s="105"/>
      <c r="G34" s="105"/>
      <c r="H34" s="105"/>
      <c r="I34" s="106"/>
      <c r="J34" s="102"/>
      <c r="K34" t="str">
        <f>IF(A34&gt;0,VLOOKUP(A34,טבלאות!$J:$K,2,0),"")</f>
        <v/>
      </c>
      <c r="L34" s="50" t="str">
        <f>IF(ISERROR(VLOOKUP(B34,טבלאות!$G:$H,2,0)),"",VLOOKUP(B34,טבלאות!$G:$H,2,0))</f>
        <v/>
      </c>
      <c r="M34" s="51" t="str">
        <f t="shared" si="0"/>
        <v/>
      </c>
    </row>
    <row r="35" spans="1:13">
      <c r="A35" s="105"/>
      <c r="B35" s="105"/>
      <c r="C35" s="105"/>
      <c r="D35" s="106"/>
      <c r="E35" s="105"/>
      <c r="F35" s="105"/>
      <c r="G35" s="105"/>
      <c r="H35" s="105"/>
      <c r="I35" s="106"/>
      <c r="J35" s="102"/>
      <c r="K35" t="str">
        <f>IF(A35&gt;0,VLOOKUP(A35,טבלאות!$J:$K,2,0),"")</f>
        <v/>
      </c>
      <c r="L35" s="50" t="str">
        <f>IF(ISERROR(VLOOKUP(B35,טבלאות!$G:$H,2,0)),"",VLOOKUP(B35,טבלאות!$G:$H,2,0))</f>
        <v/>
      </c>
      <c r="M35" s="51" t="str">
        <f t="shared" si="0"/>
        <v/>
      </c>
    </row>
    <row r="36" spans="1:13">
      <c r="A36" s="105"/>
      <c r="B36" s="105"/>
      <c r="C36" s="105"/>
      <c r="D36" s="106"/>
      <c r="E36" s="105"/>
      <c r="F36" s="105"/>
      <c r="G36" s="105"/>
      <c r="H36" s="105"/>
      <c r="I36" s="106"/>
      <c r="J36" s="102"/>
      <c r="K36" t="str">
        <f>IF(A36&gt;0,VLOOKUP(A36,טבלאות!$J:$K,2,0),"")</f>
        <v/>
      </c>
      <c r="L36" s="50" t="str">
        <f>IF(ISERROR(VLOOKUP(B36,טבלאות!$G:$H,2,0)),"",VLOOKUP(B36,טבלאות!$G:$H,2,0))</f>
        <v/>
      </c>
      <c r="M36" s="51" t="str">
        <f t="shared" si="0"/>
        <v/>
      </c>
    </row>
    <row r="37" spans="1:13">
      <c r="A37" s="105"/>
      <c r="B37" s="105"/>
      <c r="C37" s="105"/>
      <c r="D37" s="106"/>
      <c r="E37" s="105"/>
      <c r="F37" s="105"/>
      <c r="G37" s="105"/>
      <c r="H37" s="105"/>
      <c r="I37" s="106"/>
      <c r="J37" s="102"/>
      <c r="K37" t="str">
        <f>IF(A37&gt;0,VLOOKUP(A37,טבלאות!$J:$K,2,0),"")</f>
        <v/>
      </c>
      <c r="L37" s="50" t="str">
        <f>IF(ISERROR(VLOOKUP(B37,טבלאות!$G:$H,2,0)),"",VLOOKUP(B37,טבלאות!$G:$H,2,0))</f>
        <v/>
      </c>
      <c r="M37" s="51" t="str">
        <f t="shared" si="0"/>
        <v/>
      </c>
    </row>
    <row r="38" spans="1:13">
      <c r="A38" s="105"/>
      <c r="B38" s="105"/>
      <c r="C38" s="105"/>
      <c r="D38" s="106"/>
      <c r="E38" s="105"/>
      <c r="F38" s="105"/>
      <c r="G38" s="105"/>
      <c r="H38" s="105"/>
      <c r="I38" s="106"/>
      <c r="J38" s="102"/>
      <c r="K38" t="str">
        <f>IF(A38&gt;0,VLOOKUP(A38,טבלאות!$J:$K,2,0),"")</f>
        <v/>
      </c>
      <c r="L38" s="50" t="str">
        <f>IF(ISERROR(VLOOKUP(B38,טבלאות!$G:$H,2,0)),"",VLOOKUP(B38,טבלאות!$G:$H,2,0))</f>
        <v/>
      </c>
      <c r="M38" s="51" t="str">
        <f t="shared" si="0"/>
        <v/>
      </c>
    </row>
    <row r="39" spans="1:13">
      <c r="A39" s="105"/>
      <c r="B39" s="105"/>
      <c r="C39" s="105"/>
      <c r="D39" s="106"/>
      <c r="E39" s="105"/>
      <c r="F39" s="105"/>
      <c r="G39" s="105"/>
      <c r="H39" s="105"/>
      <c r="I39" s="106"/>
      <c r="J39" s="102"/>
      <c r="K39" t="str">
        <f>IF(A39&gt;0,VLOOKUP(A39,טבלאות!$J:$K,2,0),"")</f>
        <v/>
      </c>
      <c r="L39" s="50" t="str">
        <f>IF(ISERROR(VLOOKUP(B39,טבלאות!$G:$H,2,0)),"",VLOOKUP(B39,טבלאות!$G:$H,2,0))</f>
        <v/>
      </c>
      <c r="M39" s="51" t="str">
        <f t="shared" si="0"/>
        <v/>
      </c>
    </row>
    <row r="40" spans="1:13">
      <c r="A40" s="105"/>
      <c r="B40" s="105"/>
      <c r="C40" s="105"/>
      <c r="D40" s="106"/>
      <c r="E40" s="105"/>
      <c r="F40" s="105"/>
      <c r="G40" s="105"/>
      <c r="H40" s="105"/>
      <c r="I40" s="106"/>
      <c r="J40" s="102"/>
      <c r="K40" t="str">
        <f>IF(A40&gt;0,VLOOKUP(A40,טבלאות!$J:$K,2,0),"")</f>
        <v/>
      </c>
      <c r="L40" s="50" t="str">
        <f>IF(ISERROR(VLOOKUP(B40,טבלאות!$G:$H,2,0)),"",VLOOKUP(B40,טבלאות!$G:$H,2,0))</f>
        <v/>
      </c>
      <c r="M40" s="51" t="str">
        <f t="shared" si="0"/>
        <v/>
      </c>
    </row>
    <row r="41" spans="1:13">
      <c r="A41" s="105"/>
      <c r="B41" s="105"/>
      <c r="C41" s="105"/>
      <c r="D41" s="106"/>
      <c r="E41" s="105"/>
      <c r="F41" s="105"/>
      <c r="G41" s="105"/>
      <c r="H41" s="105"/>
      <c r="I41" s="106"/>
      <c r="J41" s="102"/>
      <c r="K41" t="str">
        <f>IF(A41&gt;0,VLOOKUP(A41,טבלאות!$J:$K,2,0),"")</f>
        <v/>
      </c>
      <c r="L41" s="50" t="str">
        <f>IF(ISERROR(VLOOKUP(B41,טבלאות!$G:$H,2,0)),"",VLOOKUP(B41,טבלאות!$G:$H,2,0))</f>
        <v/>
      </c>
      <c r="M41" s="51" t="str">
        <f t="shared" si="0"/>
        <v/>
      </c>
    </row>
    <row r="42" spans="1:13">
      <c r="A42" s="105"/>
      <c r="B42" s="105"/>
      <c r="C42" s="105"/>
      <c r="D42" s="106"/>
      <c r="E42" s="105"/>
      <c r="F42" s="105"/>
      <c r="G42" s="105"/>
      <c r="H42" s="105"/>
      <c r="I42" s="106"/>
      <c r="J42" s="102"/>
      <c r="K42" t="str">
        <f>IF(A42&gt;0,VLOOKUP(A42,טבלאות!$J:$K,2,0),"")</f>
        <v/>
      </c>
      <c r="L42" s="50" t="str">
        <f>IF(ISERROR(VLOOKUP(B42,טבלאות!$G:$H,2,0)),"",VLOOKUP(B42,טבלאות!$G:$H,2,0))</f>
        <v/>
      </c>
      <c r="M42" s="51" t="str">
        <f t="shared" si="0"/>
        <v/>
      </c>
    </row>
    <row r="43" spans="1:13">
      <c r="A43" s="105"/>
      <c r="B43" s="105"/>
      <c r="C43" s="105"/>
      <c r="D43" s="106"/>
      <c r="E43" s="105"/>
      <c r="F43" s="105"/>
      <c r="G43" s="105"/>
      <c r="H43" s="105"/>
      <c r="I43" s="106"/>
      <c r="J43" s="102"/>
      <c r="K43" t="str">
        <f>IF(A43&gt;0,VLOOKUP(A43,טבלאות!$J:$K,2,0),"")</f>
        <v/>
      </c>
      <c r="L43" s="50" t="str">
        <f>IF(ISERROR(VLOOKUP(B43,טבלאות!$G:$H,2,0)),"",VLOOKUP(B43,טבלאות!$G:$H,2,0))</f>
        <v/>
      </c>
      <c r="M43" s="51" t="str">
        <f t="shared" si="0"/>
        <v/>
      </c>
    </row>
    <row r="44" spans="1:13">
      <c r="A44" s="105"/>
      <c r="B44" s="105"/>
      <c r="C44" s="105"/>
      <c r="D44" s="106"/>
      <c r="E44" s="105"/>
      <c r="F44" s="105"/>
      <c r="G44" s="105"/>
      <c r="H44" s="105"/>
      <c r="I44" s="106"/>
      <c r="J44" s="102"/>
      <c r="K44" t="str">
        <f>IF(A44&gt;0,VLOOKUP(A44,טבלאות!$J:$K,2,0),"")</f>
        <v/>
      </c>
      <c r="L44" s="50" t="str">
        <f>IF(ISERROR(VLOOKUP(B44,טבלאות!$G:$H,2,0)),"",VLOOKUP(B44,טבלאות!$G:$H,2,0))</f>
        <v/>
      </c>
      <c r="M44" s="51" t="str">
        <f t="shared" si="0"/>
        <v/>
      </c>
    </row>
    <row r="45" spans="1:13">
      <c r="A45" s="105"/>
      <c r="B45" s="105"/>
      <c r="C45" s="105"/>
      <c r="D45" s="106"/>
      <c r="E45" s="105"/>
      <c r="F45" s="105"/>
      <c r="G45" s="105"/>
      <c r="H45" s="105"/>
      <c r="I45" s="106"/>
      <c r="J45" s="102"/>
      <c r="K45" t="str">
        <f>IF(A45&gt;0,VLOOKUP(A45,טבלאות!$J:$K,2,0),"")</f>
        <v/>
      </c>
      <c r="L45" s="50" t="str">
        <f>IF(ISERROR(VLOOKUP(B45,טבלאות!$G:$H,2,0)),"",VLOOKUP(B45,טבלאות!$G:$H,2,0))</f>
        <v/>
      </c>
      <c r="M45" s="51" t="str">
        <f t="shared" si="0"/>
        <v/>
      </c>
    </row>
    <row r="46" spans="1:13">
      <c r="A46" s="105"/>
      <c r="B46" s="105"/>
      <c r="C46" s="105"/>
      <c r="D46" s="106"/>
      <c r="E46" s="105"/>
      <c r="F46" s="105"/>
      <c r="G46" s="105"/>
      <c r="H46" s="105"/>
      <c r="I46" s="106"/>
      <c r="J46" s="102"/>
      <c r="K46" t="str">
        <f>IF(A46&gt;0,VLOOKUP(A46,טבלאות!$J:$K,2,0),"")</f>
        <v/>
      </c>
      <c r="L46" s="50" t="str">
        <f>IF(ISERROR(VLOOKUP(B46,טבלאות!$G:$H,2,0)),"",VLOOKUP(B46,טבלאות!$G:$H,2,0))</f>
        <v/>
      </c>
      <c r="M46" s="51" t="str">
        <f t="shared" si="0"/>
        <v/>
      </c>
    </row>
    <row r="47" spans="1:13">
      <c r="A47" s="105"/>
      <c r="B47" s="105"/>
      <c r="C47" s="105"/>
      <c r="D47" s="106"/>
      <c r="E47" s="105"/>
      <c r="F47" s="105"/>
      <c r="G47" s="105"/>
      <c r="H47" s="105"/>
      <c r="I47" s="106"/>
      <c r="J47" s="102"/>
      <c r="K47" t="str">
        <f>IF(A47&gt;0,VLOOKUP(A47,טבלאות!$J:$K,2,0),"")</f>
        <v/>
      </c>
      <c r="L47" s="50" t="str">
        <f>IF(ISERROR(VLOOKUP(B47,טבלאות!$G:$H,2,0)),"",VLOOKUP(B47,טבלאות!$G:$H,2,0))</f>
        <v/>
      </c>
      <c r="M47" s="51" t="str">
        <f t="shared" si="0"/>
        <v/>
      </c>
    </row>
    <row r="48" spans="1:13">
      <c r="A48" s="105"/>
      <c r="B48" s="105"/>
      <c r="C48" s="105"/>
      <c r="D48" s="106"/>
      <c r="E48" s="105"/>
      <c r="F48" s="105"/>
      <c r="G48" s="105"/>
      <c r="H48" s="105"/>
      <c r="I48" s="106"/>
      <c r="J48" s="102"/>
      <c r="K48" t="str">
        <f>IF(A48&gt;0,VLOOKUP(A48,טבלאות!$J:$K,2,0),"")</f>
        <v/>
      </c>
      <c r="L48" s="50" t="str">
        <f>IF(ISERROR(VLOOKUP(B48,טבלאות!$G:$H,2,0)),"",VLOOKUP(B48,טבלאות!$G:$H,2,0))</f>
        <v/>
      </c>
      <c r="M48" s="51" t="str">
        <f t="shared" si="0"/>
        <v/>
      </c>
    </row>
    <row r="49" spans="1:13">
      <c r="A49" s="105"/>
      <c r="B49" s="105"/>
      <c r="C49" s="105"/>
      <c r="D49" s="106"/>
      <c r="E49" s="105"/>
      <c r="F49" s="105"/>
      <c r="G49" s="105"/>
      <c r="H49" s="105"/>
      <c r="I49" s="106"/>
      <c r="J49" s="102"/>
      <c r="K49" t="str">
        <f>IF(A49&gt;0,VLOOKUP(A49,טבלאות!$J:$K,2,0),"")</f>
        <v/>
      </c>
      <c r="L49" s="50" t="str">
        <f>IF(ISERROR(VLOOKUP(B49,טבלאות!$G:$H,2,0)),"",VLOOKUP(B49,טבלאות!$G:$H,2,0))</f>
        <v/>
      </c>
      <c r="M49" s="51" t="str">
        <f t="shared" si="0"/>
        <v/>
      </c>
    </row>
    <row r="50" spans="1:13">
      <c r="A50" s="105"/>
      <c r="B50" s="105"/>
      <c r="C50" s="105"/>
      <c r="D50" s="106"/>
      <c r="E50" s="105"/>
      <c r="F50" s="105"/>
      <c r="G50" s="105"/>
      <c r="H50" s="105"/>
      <c r="I50" s="106"/>
      <c r="J50" s="102"/>
      <c r="K50" t="str">
        <f>IF(A50&gt;0,VLOOKUP(A50,טבלאות!$J:$K,2,0),"")</f>
        <v/>
      </c>
      <c r="L50" s="50" t="str">
        <f>IF(ISERROR(VLOOKUP(B50,טבלאות!$G:$H,2,0)),"",VLOOKUP(B50,טבלאות!$G:$H,2,0))</f>
        <v/>
      </c>
      <c r="M50" s="51" t="str">
        <f t="shared" si="0"/>
        <v/>
      </c>
    </row>
    <row r="51" spans="1:13">
      <c r="A51" s="105"/>
      <c r="B51" s="105"/>
      <c r="C51" s="105"/>
      <c r="D51" s="106"/>
      <c r="E51" s="105"/>
      <c r="F51" s="105"/>
      <c r="G51" s="105"/>
      <c r="H51" s="105"/>
      <c r="I51" s="106"/>
      <c r="J51" s="102"/>
      <c r="K51" t="str">
        <f>IF(A51&gt;0,VLOOKUP(A51,טבלאות!$J:$K,2,0),"")</f>
        <v/>
      </c>
      <c r="L51" s="50" t="str">
        <f>IF(ISERROR(VLOOKUP(B51,טבלאות!$G:$H,2,0)),"",VLOOKUP(B51,טבלאות!$G:$H,2,0))</f>
        <v/>
      </c>
      <c r="M51" s="51" t="str">
        <f t="shared" si="0"/>
        <v/>
      </c>
    </row>
    <row r="52" spans="1:13">
      <c r="A52" s="105"/>
      <c r="B52" s="105"/>
      <c r="C52" s="105"/>
      <c r="D52" s="106"/>
      <c r="E52" s="105"/>
      <c r="F52" s="105"/>
      <c r="G52" s="105"/>
      <c r="H52" s="105"/>
      <c r="I52" s="106"/>
      <c r="J52" s="102"/>
      <c r="K52" t="str">
        <f>IF(A52&gt;0,VLOOKUP(A52,טבלאות!$J:$K,2,0),"")</f>
        <v/>
      </c>
      <c r="L52" s="50" t="str">
        <f>IF(ISERROR(VLOOKUP(B52,טבלאות!$G:$H,2,0)),"",VLOOKUP(B52,טבלאות!$G:$H,2,0))</f>
        <v/>
      </c>
      <c r="M52" s="51" t="str">
        <f t="shared" si="0"/>
        <v/>
      </c>
    </row>
    <row r="53" spans="1:13">
      <c r="A53" s="105"/>
      <c r="B53" s="105"/>
      <c r="C53" s="105"/>
      <c r="D53" s="127"/>
      <c r="E53" s="105"/>
      <c r="F53" s="105"/>
      <c r="G53" s="105"/>
      <c r="H53" s="105"/>
      <c r="I53" s="106"/>
      <c r="J53" s="102"/>
      <c r="K53" t="str">
        <f>IF(A53&gt;0,VLOOKUP(A53,טבלאות!$J:$K,2,0),"")</f>
        <v/>
      </c>
      <c r="L53" s="50" t="str">
        <f>IF(ISERROR(VLOOKUP(B53,טבלאות!$G:$H,2,0)),"",VLOOKUP(B53,טבלאות!$G:$H,2,0))</f>
        <v/>
      </c>
      <c r="M53" s="51" t="str">
        <f t="shared" si="0"/>
        <v/>
      </c>
    </row>
    <row r="54" spans="1:13">
      <c r="A54" s="105"/>
      <c r="B54" s="105"/>
      <c r="C54" s="105"/>
      <c r="D54" s="106"/>
      <c r="E54" s="105"/>
      <c r="F54" s="105"/>
      <c r="G54" s="105"/>
      <c r="H54" s="105"/>
      <c r="I54" s="106"/>
      <c r="J54" s="102"/>
      <c r="K54" t="str">
        <f>IF(A54&gt;0,VLOOKUP(A54,טבלאות!$J:$K,2,0),"")</f>
        <v/>
      </c>
      <c r="L54" s="50" t="str">
        <f>IF(ISERROR(VLOOKUP(B54,טבלאות!$G:$H,2,0)),"",VLOOKUP(B54,טבלאות!$G:$H,2,0))</f>
        <v/>
      </c>
      <c r="M54" s="51" t="str">
        <f t="shared" si="0"/>
        <v/>
      </c>
    </row>
    <row r="55" spans="1:13">
      <c r="A55" s="105"/>
      <c r="B55" s="105"/>
      <c r="C55" s="105"/>
      <c r="D55" s="106"/>
      <c r="E55" s="105"/>
      <c r="F55" s="105"/>
      <c r="G55" s="105"/>
      <c r="H55" s="105"/>
      <c r="I55" s="106"/>
      <c r="J55" s="102"/>
      <c r="K55" t="str">
        <f>IF(A55&gt;0,VLOOKUP(A55,טבלאות!$J:$K,2,0),"")</f>
        <v/>
      </c>
      <c r="L55" s="50" t="str">
        <f>IF(ISERROR(VLOOKUP(B55,טבלאות!$G:$H,2,0)),"",VLOOKUP(B55,טבלאות!$G:$H,2,0))</f>
        <v/>
      </c>
      <c r="M55" s="51" t="str">
        <f t="shared" si="0"/>
        <v/>
      </c>
    </row>
    <row r="56" spans="1:13">
      <c r="A56" s="105"/>
      <c r="B56" s="105"/>
      <c r="C56" s="105"/>
      <c r="D56" s="106"/>
      <c r="E56" s="105"/>
      <c r="F56" s="105"/>
      <c r="G56" s="105"/>
      <c r="H56" s="105"/>
      <c r="I56" s="106"/>
      <c r="J56" s="102"/>
      <c r="K56" t="str">
        <f>IF(A56&gt;0,VLOOKUP(A56,טבלאות!$J:$K,2,0),"")</f>
        <v/>
      </c>
      <c r="L56" s="50" t="str">
        <f>IF(ISERROR(VLOOKUP(B56,טבלאות!$G:$H,2,0)),"",VLOOKUP(B56,טבלאות!$G:$H,2,0))</f>
        <v/>
      </c>
      <c r="M56" s="51" t="str">
        <f t="shared" si="0"/>
        <v/>
      </c>
    </row>
    <row r="57" spans="1:13">
      <c r="A57" s="105"/>
      <c r="B57" s="105"/>
      <c r="C57" s="105"/>
      <c r="D57" s="106"/>
      <c r="E57" s="105"/>
      <c r="F57" s="105"/>
      <c r="G57" s="105"/>
      <c r="H57" s="105"/>
      <c r="I57" s="106"/>
      <c r="J57" s="102"/>
      <c r="K57" t="str">
        <f>IF(A57&gt;0,VLOOKUP(A57,טבלאות!$J:$K,2,0),"")</f>
        <v/>
      </c>
      <c r="L57" s="50" t="str">
        <f>IF(ISERROR(VLOOKUP(B57,טבלאות!$G:$H,2,0)),"",VLOOKUP(B57,טבלאות!$G:$H,2,0))</f>
        <v/>
      </c>
      <c r="M57" s="51" t="str">
        <f t="shared" si="0"/>
        <v/>
      </c>
    </row>
    <row r="58" spans="1:13">
      <c r="A58" s="105"/>
      <c r="B58" s="105"/>
      <c r="C58" s="105"/>
      <c r="D58" s="106"/>
      <c r="E58" s="105"/>
      <c r="F58" s="105"/>
      <c r="G58" s="105"/>
      <c r="H58" s="105"/>
      <c r="I58" s="106"/>
      <c r="J58" s="102"/>
      <c r="K58" t="str">
        <f>IF(A58&gt;0,VLOOKUP(A58,טבלאות!$J:$K,2,0),"")</f>
        <v/>
      </c>
      <c r="L58" s="50" t="str">
        <f>IF(ISERROR(VLOOKUP(B58,טבלאות!$G:$H,2,0)),"",VLOOKUP(B58,טבלאות!$G:$H,2,0))</f>
        <v/>
      </c>
      <c r="M58" s="51" t="str">
        <f t="shared" si="0"/>
        <v/>
      </c>
    </row>
    <row r="59" spans="1:13">
      <c r="A59" s="105"/>
      <c r="B59" s="105"/>
      <c r="C59" s="105"/>
      <c r="D59" s="106"/>
      <c r="E59" s="105"/>
      <c r="F59" s="105"/>
      <c r="G59" s="105"/>
      <c r="H59" s="105"/>
      <c r="I59" s="106"/>
      <c r="J59" s="102"/>
      <c r="K59" t="str">
        <f>IF(A59&gt;0,VLOOKUP(A59,טבלאות!$J:$K,2,0),"")</f>
        <v/>
      </c>
      <c r="L59" s="50" t="str">
        <f>IF(ISERROR(VLOOKUP(B59,טבלאות!$G:$H,2,0)),"",VLOOKUP(B59,טבלאות!$G:$H,2,0))</f>
        <v/>
      </c>
      <c r="M59" s="51" t="str">
        <f t="shared" si="0"/>
        <v/>
      </c>
    </row>
    <row r="60" spans="1:13">
      <c r="A60" s="105"/>
      <c r="B60" s="105"/>
      <c r="C60" s="105"/>
      <c r="D60" s="106"/>
      <c r="E60" s="105"/>
      <c r="F60" s="105"/>
      <c r="G60" s="105"/>
      <c r="H60" s="105"/>
      <c r="I60" s="106"/>
      <c r="J60" s="102"/>
      <c r="K60" t="str">
        <f>IF(A60&gt;0,VLOOKUP(A60,טבלאות!$J:$K,2,0),"")</f>
        <v/>
      </c>
      <c r="L60" s="50" t="str">
        <f>IF(ISERROR(VLOOKUP(B60,טבלאות!$G:$H,2,0)),"",VLOOKUP(B60,טבלאות!$G:$H,2,0))</f>
        <v/>
      </c>
      <c r="M60" s="51" t="str">
        <f t="shared" si="0"/>
        <v/>
      </c>
    </row>
    <row r="61" spans="1:13">
      <c r="A61" s="105"/>
      <c r="B61" s="105"/>
      <c r="C61" s="105"/>
      <c r="D61" s="106"/>
      <c r="E61" s="105"/>
      <c r="F61" s="105"/>
      <c r="G61" s="105"/>
      <c r="H61" s="105"/>
      <c r="I61" s="106"/>
      <c r="J61" s="102"/>
      <c r="K61" t="str">
        <f>IF(A61&gt;0,VLOOKUP(A61,טבלאות!$J:$K,2,0),"")</f>
        <v/>
      </c>
      <c r="L61" s="50" t="str">
        <f>IF(ISERROR(VLOOKUP(B61,טבלאות!$G:$H,2,0)),"",VLOOKUP(B61,טבלאות!$G:$H,2,0))</f>
        <v/>
      </c>
      <c r="M61" s="51" t="str">
        <f t="shared" si="0"/>
        <v/>
      </c>
    </row>
    <row r="62" spans="1:13">
      <c r="A62" s="105"/>
      <c r="B62" s="105"/>
      <c r="C62" s="105"/>
      <c r="D62" s="106"/>
      <c r="E62" s="105"/>
      <c r="F62" s="105"/>
      <c r="G62" s="105"/>
      <c r="H62" s="105"/>
      <c r="I62" s="106"/>
      <c r="J62" s="102"/>
      <c r="K62" t="str">
        <f>IF(A62&gt;0,VLOOKUP(A62,טבלאות!$J:$K,2,0),"")</f>
        <v/>
      </c>
      <c r="L62" s="50" t="str">
        <f>IF(ISERROR(VLOOKUP(B62,טבלאות!$G:$H,2,0)),"",VLOOKUP(B62,טבלאות!$G:$H,2,0))</f>
        <v/>
      </c>
      <c r="M62" s="51" t="str">
        <f t="shared" si="0"/>
        <v/>
      </c>
    </row>
    <row r="63" spans="1:13">
      <c r="A63" s="105"/>
      <c r="B63" s="105"/>
      <c r="C63" s="105"/>
      <c r="D63" s="106"/>
      <c r="E63" s="105"/>
      <c r="F63" s="105"/>
      <c r="G63" s="105"/>
      <c r="H63" s="105"/>
      <c r="I63" s="106"/>
      <c r="J63" s="102"/>
      <c r="K63" t="str">
        <f>IF(A63&gt;0,VLOOKUP(A63,טבלאות!$J:$K,2,0),"")</f>
        <v/>
      </c>
      <c r="L63" s="50" t="str">
        <f>IF(ISERROR(VLOOKUP(B63,טבלאות!$G:$H,2,0)),"",VLOOKUP(B63,טבלאות!$G:$H,2,0))</f>
        <v/>
      </c>
      <c r="M63" s="51" t="str">
        <f t="shared" si="0"/>
        <v/>
      </c>
    </row>
    <row r="64" spans="1:13">
      <c r="A64" s="105"/>
      <c r="B64" s="105"/>
      <c r="C64" s="105"/>
      <c r="D64" s="106"/>
      <c r="E64" s="105"/>
      <c r="F64" s="105"/>
      <c r="G64" s="105"/>
      <c r="H64" s="105"/>
      <c r="I64" s="106"/>
      <c r="J64" s="102"/>
      <c r="K64" t="str">
        <f>IF(A64&gt;0,VLOOKUP(A64,טבלאות!$J:$K,2,0),"")</f>
        <v/>
      </c>
      <c r="L64" s="50" t="str">
        <f>IF(ISERROR(VLOOKUP(B64,טבלאות!$G:$H,2,0)),"",VLOOKUP(B64,טבלאות!$G:$H,2,0))</f>
        <v/>
      </c>
      <c r="M64" s="51" t="str">
        <f t="shared" si="0"/>
        <v/>
      </c>
    </row>
    <row r="65" spans="1:13">
      <c r="A65" s="105"/>
      <c r="B65" s="105"/>
      <c r="C65" s="105"/>
      <c r="D65" s="106"/>
      <c r="E65" s="105"/>
      <c r="F65" s="105"/>
      <c r="G65" s="105"/>
      <c r="H65" s="105"/>
      <c r="I65" s="106"/>
      <c r="J65" s="102"/>
      <c r="K65" t="str">
        <f>IF(A65&gt;0,VLOOKUP(A65,טבלאות!$J:$K,2,0),"")</f>
        <v/>
      </c>
      <c r="L65" s="50" t="str">
        <f>IF(ISERROR(VLOOKUP(B65,טבלאות!$G:$H,2,0)),"",VLOOKUP(B65,טבלאות!$G:$H,2,0))</f>
        <v/>
      </c>
      <c r="M65" s="51" t="str">
        <f t="shared" si="0"/>
        <v/>
      </c>
    </row>
    <row r="66" spans="1:13">
      <c r="A66" s="105"/>
      <c r="B66" s="105"/>
      <c r="C66" s="105"/>
      <c r="D66" s="106"/>
      <c r="E66" s="105"/>
      <c r="F66" s="105"/>
      <c r="G66" s="105"/>
      <c r="H66" s="105"/>
      <c r="I66" s="106"/>
      <c r="J66" s="102"/>
      <c r="K66" t="str">
        <f>IF(A66&gt;0,VLOOKUP(A66,טבלאות!$J:$K,2,0),"")</f>
        <v/>
      </c>
      <c r="L66" s="50" t="str">
        <f>IF(ISERROR(VLOOKUP(B66,טבלאות!$G:$H,2,0)),"",VLOOKUP(B66,טבלאות!$G:$H,2,0))</f>
        <v/>
      </c>
      <c r="M66" s="51" t="str">
        <f t="shared" ref="M66:M113" si="1">IF(OR(L66="",L66="?"),"",IF(L66&gt;0,I66,""))</f>
        <v/>
      </c>
    </row>
    <row r="67" spans="1:13">
      <c r="A67" s="105"/>
      <c r="B67" s="105"/>
      <c r="C67" s="105"/>
      <c r="D67" s="106"/>
      <c r="E67" s="105"/>
      <c r="F67" s="105"/>
      <c r="G67" s="105"/>
      <c r="H67" s="105"/>
      <c r="I67" s="106"/>
      <c r="J67" s="102"/>
      <c r="K67" t="str">
        <f>IF(A67&gt;0,VLOOKUP(A67,טבלאות!$J:$K,2,0),"")</f>
        <v/>
      </c>
      <c r="L67" s="50" t="str">
        <f>IF(ISERROR(VLOOKUP(B67,טבלאות!$G:$H,2,0)),"",VLOOKUP(B67,טבלאות!$G:$H,2,0))</f>
        <v/>
      </c>
      <c r="M67" s="51" t="str">
        <f t="shared" si="1"/>
        <v/>
      </c>
    </row>
    <row r="68" spans="1:13">
      <c r="A68" s="105"/>
      <c r="B68" s="105"/>
      <c r="C68" s="105"/>
      <c r="D68" s="106"/>
      <c r="E68" s="105"/>
      <c r="F68" s="105"/>
      <c r="G68" s="105"/>
      <c r="H68" s="105"/>
      <c r="I68" s="106"/>
      <c r="J68" s="102"/>
      <c r="K68" t="str">
        <f>IF(A68&gt;0,VLOOKUP(A68,טבלאות!$J:$K,2,0),"")</f>
        <v/>
      </c>
      <c r="L68" s="50" t="str">
        <f>IF(ISERROR(VLOOKUP(B68,טבלאות!$G:$H,2,0)),"",VLOOKUP(B68,טבלאות!$G:$H,2,0))</f>
        <v/>
      </c>
      <c r="M68" s="51" t="str">
        <f t="shared" si="1"/>
        <v/>
      </c>
    </row>
    <row r="69" spans="1:13">
      <c r="A69" s="105"/>
      <c r="B69" s="105"/>
      <c r="C69" s="105"/>
      <c r="D69" s="106"/>
      <c r="E69" s="105"/>
      <c r="F69" s="105"/>
      <c r="G69" s="105"/>
      <c r="H69" s="105"/>
      <c r="I69" s="106"/>
      <c r="J69" s="102"/>
      <c r="K69" t="str">
        <f>IF(A69&gt;0,VLOOKUP(A69,טבלאות!$J:$K,2,0),"")</f>
        <v/>
      </c>
      <c r="L69" s="50" t="str">
        <f>IF(ISERROR(VLOOKUP(B69,טבלאות!$G:$H,2,0)),"",VLOOKUP(B69,טבלאות!$G:$H,2,0))</f>
        <v/>
      </c>
      <c r="M69" s="51" t="str">
        <f t="shared" si="1"/>
        <v/>
      </c>
    </row>
    <row r="70" spans="1:13">
      <c r="A70" s="105"/>
      <c r="B70" s="105"/>
      <c r="C70" s="105"/>
      <c r="D70" s="106"/>
      <c r="E70" s="105"/>
      <c r="F70" s="105"/>
      <c r="G70" s="105"/>
      <c r="H70" s="105"/>
      <c r="I70" s="106"/>
      <c r="J70" s="102"/>
      <c r="K70" t="str">
        <f>IF(A70&gt;0,VLOOKUP(A70,טבלאות!$J:$K,2,0),"")</f>
        <v/>
      </c>
      <c r="L70" s="50" t="str">
        <f>IF(ISERROR(VLOOKUP(B70,טבלאות!$G:$H,2,0)),"",VLOOKUP(B70,טבלאות!$G:$H,2,0))</f>
        <v/>
      </c>
      <c r="M70" s="51" t="str">
        <f t="shared" si="1"/>
        <v/>
      </c>
    </row>
    <row r="71" spans="1:13">
      <c r="A71" s="105"/>
      <c r="B71" s="105"/>
      <c r="C71" s="105"/>
      <c r="D71" s="106"/>
      <c r="E71" s="105"/>
      <c r="F71" s="105"/>
      <c r="G71" s="105"/>
      <c r="H71" s="105"/>
      <c r="I71" s="106"/>
      <c r="J71" s="102"/>
      <c r="K71" t="str">
        <f>IF(A71&gt;0,VLOOKUP(A71,טבלאות!$J:$K,2,0),"")</f>
        <v/>
      </c>
      <c r="L71" s="50" t="str">
        <f>IF(ISERROR(VLOOKUP(B71,טבלאות!$G:$H,2,0)),"",VLOOKUP(B71,טבלאות!$G:$H,2,0))</f>
        <v/>
      </c>
      <c r="M71" s="51" t="str">
        <f t="shared" si="1"/>
        <v/>
      </c>
    </row>
    <row r="72" spans="1:13">
      <c r="A72" s="105"/>
      <c r="B72" s="105"/>
      <c r="C72" s="105"/>
      <c r="D72" s="106"/>
      <c r="E72" s="105"/>
      <c r="F72" s="105"/>
      <c r="G72" s="105"/>
      <c r="H72" s="105"/>
      <c r="I72" s="106"/>
      <c r="J72" s="102"/>
      <c r="K72" t="str">
        <f>IF(A72&gt;0,VLOOKUP(A72,טבלאות!$J:$K,2,0),"")</f>
        <v/>
      </c>
      <c r="L72" s="50" t="str">
        <f>IF(ISERROR(VLOOKUP(B72,טבלאות!$G:$H,2,0)),"",VLOOKUP(B72,טבלאות!$G:$H,2,0))</f>
        <v/>
      </c>
      <c r="M72" s="51" t="str">
        <f t="shared" si="1"/>
        <v/>
      </c>
    </row>
    <row r="73" spans="1:13">
      <c r="A73" s="105"/>
      <c r="B73" s="105"/>
      <c r="C73" s="105"/>
      <c r="D73" s="106"/>
      <c r="E73" s="105"/>
      <c r="F73" s="105"/>
      <c r="G73" s="105"/>
      <c r="H73" s="105"/>
      <c r="I73" s="106"/>
      <c r="J73" s="102"/>
      <c r="K73" t="str">
        <f>IF(A73&gt;0,VLOOKUP(A73,טבלאות!$J:$K,2,0),"")</f>
        <v/>
      </c>
      <c r="L73" s="50" t="str">
        <f>IF(ISERROR(VLOOKUP(B73,טבלאות!$G:$H,2,0)),"",VLOOKUP(B73,טבלאות!$G:$H,2,0))</f>
        <v/>
      </c>
      <c r="M73" s="51" t="str">
        <f t="shared" si="1"/>
        <v/>
      </c>
    </row>
    <row r="74" spans="1:13">
      <c r="A74" s="105"/>
      <c r="B74" s="105"/>
      <c r="C74" s="105"/>
      <c r="D74" s="106"/>
      <c r="E74" s="105"/>
      <c r="F74" s="105"/>
      <c r="G74" s="105"/>
      <c r="H74" s="105"/>
      <c r="I74" s="106"/>
      <c r="J74" s="102"/>
      <c r="K74" t="str">
        <f>IF(A74&gt;0,VLOOKUP(A74,טבלאות!$J:$K,2,0),"")</f>
        <v/>
      </c>
      <c r="L74" s="50" t="str">
        <f>IF(ISERROR(VLOOKUP(B74,טבלאות!$G:$H,2,0)),"",VLOOKUP(B74,טבלאות!$G:$H,2,0))</f>
        <v/>
      </c>
      <c r="M74" s="51" t="str">
        <f t="shared" si="1"/>
        <v/>
      </c>
    </row>
    <row r="75" spans="1:13">
      <c r="A75" s="105"/>
      <c r="B75" s="105"/>
      <c r="C75" s="105"/>
      <c r="D75" s="106"/>
      <c r="E75" s="105"/>
      <c r="F75" s="105"/>
      <c r="G75" s="105"/>
      <c r="H75" s="105"/>
      <c r="I75" s="106"/>
      <c r="J75" s="102"/>
      <c r="K75" t="str">
        <f>IF(A75&gt;0,VLOOKUP(A75,טבלאות!$J:$K,2,0),"")</f>
        <v/>
      </c>
      <c r="L75" s="50" t="str">
        <f>IF(ISERROR(VLOOKUP(B75,טבלאות!$G:$H,2,0)),"",VLOOKUP(B75,טבלאות!$G:$H,2,0))</f>
        <v/>
      </c>
      <c r="M75" s="51" t="str">
        <f t="shared" si="1"/>
        <v/>
      </c>
    </row>
    <row r="76" spans="1:13">
      <c r="A76" s="105"/>
      <c r="B76" s="105"/>
      <c r="C76" s="105"/>
      <c r="D76" s="106"/>
      <c r="E76" s="105"/>
      <c r="F76" s="105"/>
      <c r="G76" s="105"/>
      <c r="H76" s="105"/>
      <c r="I76" s="106"/>
      <c r="J76" s="102"/>
      <c r="K76" t="str">
        <f>IF(A76&gt;0,VLOOKUP(A76,טבלאות!$J:$K,2,0),"")</f>
        <v/>
      </c>
      <c r="L76" s="50" t="str">
        <f>IF(ISERROR(VLOOKUP(B76,טבלאות!$G:$H,2,0)),"",VLOOKUP(B76,טבלאות!$G:$H,2,0))</f>
        <v/>
      </c>
      <c r="M76" s="51" t="str">
        <f t="shared" si="1"/>
        <v/>
      </c>
    </row>
    <row r="77" spans="1:13">
      <c r="A77" s="105"/>
      <c r="B77" s="105"/>
      <c r="C77" s="105"/>
      <c r="D77" s="106"/>
      <c r="E77" s="105"/>
      <c r="F77" s="105"/>
      <c r="G77" s="105"/>
      <c r="H77" s="105"/>
      <c r="I77" s="106"/>
      <c r="J77" s="102"/>
      <c r="K77" t="str">
        <f>IF(A77&gt;0,VLOOKUP(A77,טבלאות!$J:$K,2,0),"")</f>
        <v/>
      </c>
      <c r="L77" s="50" t="str">
        <f>IF(ISERROR(VLOOKUP(B77,טבלאות!$G:$H,2,0)),"",VLOOKUP(B77,טבלאות!$G:$H,2,0))</f>
        <v/>
      </c>
      <c r="M77" s="51" t="str">
        <f t="shared" si="1"/>
        <v/>
      </c>
    </row>
    <row r="78" spans="1:13">
      <c r="A78" s="105"/>
      <c r="B78" s="105"/>
      <c r="C78" s="105"/>
      <c r="D78" s="106"/>
      <c r="E78" s="105"/>
      <c r="F78" s="105"/>
      <c r="G78" s="105"/>
      <c r="H78" s="105"/>
      <c r="I78" s="106"/>
      <c r="J78" s="102"/>
      <c r="K78" t="str">
        <f>IF(A78&gt;0,VLOOKUP(A78,טבלאות!$J:$K,2,0),"")</f>
        <v/>
      </c>
      <c r="L78" s="50" t="str">
        <f>IF(ISERROR(VLOOKUP(B78,טבלאות!$G:$H,2,0)),"",VLOOKUP(B78,טבלאות!$G:$H,2,0))</f>
        <v/>
      </c>
      <c r="M78" s="51" t="str">
        <f t="shared" si="1"/>
        <v/>
      </c>
    </row>
    <row r="79" spans="1:13">
      <c r="A79" s="105"/>
      <c r="B79" s="105"/>
      <c r="C79" s="105"/>
      <c r="D79" s="106"/>
      <c r="E79" s="105"/>
      <c r="F79" s="105"/>
      <c r="G79" s="105"/>
      <c r="H79" s="105"/>
      <c r="I79" s="106"/>
      <c r="J79" s="102"/>
      <c r="K79" t="str">
        <f>IF(A79&gt;0,VLOOKUP(A79,טבלאות!$J:$K,2,0),"")</f>
        <v/>
      </c>
      <c r="L79" s="50" t="str">
        <f>IF(ISERROR(VLOOKUP(B79,טבלאות!$G:$H,2,0)),"",VLOOKUP(B79,טבלאות!$G:$H,2,0))</f>
        <v/>
      </c>
      <c r="M79" s="51" t="str">
        <f t="shared" si="1"/>
        <v/>
      </c>
    </row>
    <row r="80" spans="1:13">
      <c r="A80" s="105"/>
      <c r="B80" s="105"/>
      <c r="C80" s="105"/>
      <c r="D80" s="106"/>
      <c r="E80" s="105"/>
      <c r="F80" s="105"/>
      <c r="G80" s="105"/>
      <c r="H80" s="105"/>
      <c r="I80" s="106"/>
      <c r="K80" t="str">
        <f>IF(A80&gt;0,VLOOKUP(A80,טבלאות!$J:$K,2,0),"")</f>
        <v/>
      </c>
      <c r="L80" s="50" t="str">
        <f>IF(ISERROR(VLOOKUP(B80,טבלאות!$G:$H,2,0)),"",VLOOKUP(B80,טבלאות!$G:$H,2,0))</f>
        <v/>
      </c>
      <c r="M80" s="51" t="str">
        <f t="shared" si="1"/>
        <v/>
      </c>
    </row>
    <row r="81" spans="1:13">
      <c r="A81" s="105"/>
      <c r="B81" s="105"/>
      <c r="C81" s="105"/>
      <c r="D81" s="106"/>
      <c r="E81" s="105"/>
      <c r="F81" s="105"/>
      <c r="G81" s="105"/>
      <c r="H81" s="105"/>
      <c r="I81" s="106"/>
      <c r="K81" t="str">
        <f>IF(A81&gt;0,VLOOKUP(A81,טבלאות!$J:$K,2,0),"")</f>
        <v/>
      </c>
      <c r="L81" s="50" t="str">
        <f>IF(ISERROR(VLOOKUP(B81,טבלאות!$G:$H,2,0)),"",VLOOKUP(B81,טבלאות!$G:$H,2,0))</f>
        <v/>
      </c>
      <c r="M81" s="51" t="str">
        <f t="shared" si="1"/>
        <v/>
      </c>
    </row>
    <row r="82" spans="1:13">
      <c r="A82" s="105"/>
      <c r="B82" s="105"/>
      <c r="C82" s="105"/>
      <c r="D82" s="106"/>
      <c r="E82" s="105"/>
      <c r="F82" s="105"/>
      <c r="G82" s="105"/>
      <c r="H82" s="105"/>
      <c r="I82" s="106"/>
      <c r="K82" t="str">
        <f>IF(A82&gt;0,VLOOKUP(A82,טבלאות!$J:$K,2,0),"")</f>
        <v/>
      </c>
      <c r="L82" s="50" t="str">
        <f>IF(ISERROR(VLOOKUP(B82,טבלאות!$G:$H,2,0)),"",VLOOKUP(B82,טבלאות!$G:$H,2,0))</f>
        <v/>
      </c>
      <c r="M82" s="51" t="str">
        <f t="shared" si="1"/>
        <v/>
      </c>
    </row>
    <row r="83" spans="1:13">
      <c r="A83" s="105"/>
      <c r="B83" s="105"/>
      <c r="C83" s="105"/>
      <c r="D83" s="106"/>
      <c r="E83" s="105"/>
      <c r="F83" s="105"/>
      <c r="G83" s="105"/>
      <c r="H83" s="105"/>
      <c r="I83" s="106"/>
      <c r="K83" t="str">
        <f>IF(A83&gt;0,VLOOKUP(A83,טבלאות!$J:$K,2,0),"")</f>
        <v/>
      </c>
      <c r="L83" s="50" t="str">
        <f>IF(ISERROR(VLOOKUP(B83,טבלאות!$G:$H,2,0)),"",VLOOKUP(B83,טבלאות!$G:$H,2,0))</f>
        <v/>
      </c>
      <c r="M83" s="51" t="str">
        <f t="shared" si="1"/>
        <v/>
      </c>
    </row>
    <row r="84" spans="1:13">
      <c r="A84" s="105"/>
      <c r="B84" s="105"/>
      <c r="C84" s="105"/>
      <c r="D84" s="106"/>
      <c r="E84" s="105"/>
      <c r="F84" s="105"/>
      <c r="G84" s="105"/>
      <c r="H84" s="105"/>
      <c r="I84" s="106"/>
      <c r="K84" t="str">
        <f>IF(A84&gt;0,VLOOKUP(A84,טבלאות!$J:$K,2,0),"")</f>
        <v/>
      </c>
      <c r="L84" s="50" t="str">
        <f>IF(ISERROR(VLOOKUP(B84,טבלאות!$G:$H,2,0)),"",VLOOKUP(B84,טבלאות!$G:$H,2,0))</f>
        <v/>
      </c>
      <c r="M84" s="51" t="str">
        <f t="shared" si="1"/>
        <v/>
      </c>
    </row>
    <row r="85" spans="1:13">
      <c r="A85" s="105"/>
      <c r="B85" s="105"/>
      <c r="C85" s="105"/>
      <c r="D85" s="106"/>
      <c r="E85" s="105"/>
      <c r="F85" s="105"/>
      <c r="G85" s="105"/>
      <c r="H85" s="105"/>
      <c r="I85" s="106"/>
      <c r="K85" t="str">
        <f>IF(A85&gt;0,VLOOKUP(A85,טבלאות!$J:$K,2,0),"")</f>
        <v/>
      </c>
      <c r="L85" s="50" t="str">
        <f>IF(ISERROR(VLOOKUP(B85,טבלאות!$G:$H,2,0)),"",VLOOKUP(B85,טבלאות!$G:$H,2,0))</f>
        <v/>
      </c>
      <c r="M85" s="51" t="str">
        <f t="shared" si="1"/>
        <v/>
      </c>
    </row>
    <row r="86" spans="1:13">
      <c r="A86" s="105"/>
      <c r="B86" s="105"/>
      <c r="C86" s="105"/>
      <c r="D86" s="106"/>
      <c r="E86" s="105"/>
      <c r="F86" s="105"/>
      <c r="G86" s="105"/>
      <c r="H86" s="105"/>
      <c r="I86" s="106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 t="shared" si="1"/>
        <v/>
      </c>
    </row>
    <row r="87" spans="1:13">
      <c r="A87" s="105"/>
      <c r="B87" s="105"/>
      <c r="C87" s="105"/>
      <c r="D87" s="106"/>
      <c r="E87" s="105"/>
      <c r="F87" s="105"/>
      <c r="G87" s="105"/>
      <c r="H87" s="105"/>
      <c r="I87" s="106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1"/>
        <v/>
      </c>
    </row>
    <row r="88" spans="1:13">
      <c r="A88" s="105"/>
      <c r="B88" s="105"/>
      <c r="C88" s="105"/>
      <c r="D88" s="106"/>
      <c r="E88" s="105"/>
      <c r="F88" s="105"/>
      <c r="G88" s="105"/>
      <c r="H88" s="105"/>
      <c r="I88" s="106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1"/>
        <v/>
      </c>
    </row>
    <row r="89" spans="1:13">
      <c r="A89" s="105"/>
      <c r="B89" s="105"/>
      <c r="C89" s="105"/>
      <c r="D89" s="106"/>
      <c r="E89" s="105"/>
      <c r="F89" s="105"/>
      <c r="G89" s="105"/>
      <c r="H89" s="105"/>
      <c r="I89" s="106"/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1"/>
        <v/>
      </c>
    </row>
    <row r="90" spans="1:13">
      <c r="A90" s="105"/>
      <c r="B90" s="105"/>
      <c r="C90" s="105"/>
      <c r="D90" s="106"/>
      <c r="E90" s="105"/>
      <c r="F90" s="105"/>
      <c r="G90" s="105"/>
      <c r="H90" s="105"/>
      <c r="I90" s="106"/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1"/>
        <v/>
      </c>
    </row>
    <row r="91" spans="1:13">
      <c r="A91" s="105"/>
      <c r="B91" s="105"/>
      <c r="C91" s="105"/>
      <c r="D91" s="107"/>
      <c r="E91" s="105"/>
      <c r="F91" s="105"/>
      <c r="G91" s="105"/>
      <c r="H91" s="105"/>
      <c r="I91" s="106"/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1"/>
        <v/>
      </c>
    </row>
    <row r="92" spans="1:13">
      <c r="A92" s="105"/>
      <c r="B92" s="105"/>
      <c r="C92" s="105"/>
      <c r="D92" s="106"/>
      <c r="E92" s="105"/>
      <c r="F92" s="105"/>
      <c r="G92" s="105"/>
      <c r="H92" s="105"/>
      <c r="I92" s="106"/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1"/>
        <v/>
      </c>
    </row>
    <row r="93" spans="1:13">
      <c r="A93" s="105"/>
      <c r="B93" s="105"/>
      <c r="C93" s="105"/>
      <c r="D93" s="106"/>
      <c r="E93" s="105"/>
      <c r="F93" s="105"/>
      <c r="G93" s="105"/>
      <c r="H93" s="105"/>
      <c r="I93" s="106"/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1"/>
        <v/>
      </c>
    </row>
    <row r="94" spans="1:13">
      <c r="A94" s="105"/>
      <c r="B94" s="105"/>
      <c r="C94" s="105"/>
      <c r="D94" s="106"/>
      <c r="E94" s="105"/>
      <c r="F94" s="105"/>
      <c r="G94" s="105"/>
      <c r="H94" s="105"/>
      <c r="I94" s="106"/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1"/>
        <v/>
      </c>
    </row>
    <row r="95" spans="1:13">
      <c r="B95" s="105"/>
      <c r="C95" s="112"/>
      <c r="D95" s="106"/>
      <c r="E95" s="105"/>
      <c r="F95" s="105"/>
      <c r="G95" s="105"/>
      <c r="H95" s="105"/>
      <c r="I95" s="106"/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1"/>
        <v/>
      </c>
    </row>
    <row r="96" spans="1:13">
      <c r="B96" s="105"/>
      <c r="C96" s="112"/>
      <c r="D96" s="128"/>
      <c r="E96" s="105"/>
      <c r="F96" s="105"/>
      <c r="G96" s="105"/>
      <c r="H96" s="105"/>
      <c r="I96" s="106"/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1"/>
        <v/>
      </c>
    </row>
    <row r="97" spans="2:13">
      <c r="B97" s="105"/>
      <c r="C97" s="112"/>
      <c r="D97" s="106"/>
      <c r="E97" s="105"/>
      <c r="F97" s="105"/>
      <c r="G97" s="105"/>
      <c r="H97" s="105"/>
      <c r="I97" s="106"/>
      <c r="L97" s="50" t="str">
        <f>IF(ISERROR(VLOOKUP(B97,טבלאות!$G:$H,2,0)),"",VLOOKUP(B97,טבלאות!$G:$H,2,0))</f>
        <v/>
      </c>
      <c r="M97" s="51" t="str">
        <f t="shared" si="1"/>
        <v/>
      </c>
    </row>
    <row r="98" spans="2:13">
      <c r="B98" s="105"/>
      <c r="C98" s="112"/>
      <c r="D98" s="106"/>
      <c r="E98" s="105"/>
      <c r="F98" s="105"/>
      <c r="G98" s="105"/>
      <c r="H98" s="105"/>
      <c r="I98" s="106"/>
      <c r="L98" s="50" t="str">
        <f>IF(ISERROR(VLOOKUP(B98,טבלאות!$G:$H,2,0)),"",VLOOKUP(B98,טבלאות!$G:$H,2,0))</f>
        <v/>
      </c>
      <c r="M98" s="51" t="str">
        <f t="shared" si="1"/>
        <v/>
      </c>
    </row>
    <row r="99" spans="2:13">
      <c r="B99" s="105"/>
      <c r="C99" s="112"/>
      <c r="D99" s="106"/>
      <c r="E99" s="105"/>
      <c r="F99" s="105"/>
      <c r="G99" s="105"/>
      <c r="H99" s="105"/>
      <c r="I99" s="106"/>
      <c r="L99" s="50" t="str">
        <f>IF(ISERROR(VLOOKUP(B99,טבלאות!$G:$H,2,0)),"",VLOOKUP(B99,טבלאות!$G:$H,2,0))</f>
        <v/>
      </c>
      <c r="M99" s="51" t="str">
        <f t="shared" si="1"/>
        <v/>
      </c>
    </row>
    <row r="100" spans="2:13">
      <c r="B100" s="105"/>
      <c r="C100" s="112"/>
      <c r="D100" s="128"/>
      <c r="E100" s="105"/>
      <c r="F100" s="105"/>
      <c r="G100" s="105"/>
      <c r="H100" s="105"/>
      <c r="I100" s="106"/>
      <c r="L100" s="50" t="str">
        <f>IF(ISERROR(VLOOKUP(B100,טבלאות!$G:$H,2,0)),"",VLOOKUP(B100,טבלאות!$G:$H,2,0))</f>
        <v/>
      </c>
      <c r="M100" s="51" t="str">
        <f t="shared" si="1"/>
        <v/>
      </c>
    </row>
    <row r="101" spans="2:13">
      <c r="B101" s="105"/>
      <c r="C101" s="112"/>
      <c r="D101" s="106"/>
      <c r="E101" s="105"/>
      <c r="F101" s="105"/>
      <c r="G101" s="105"/>
      <c r="H101" s="105"/>
      <c r="I101" s="106"/>
      <c r="L101" s="50" t="str">
        <f>IF(ISERROR(VLOOKUP(B101,טבלאות!$G:$H,2,0)),"",VLOOKUP(B101,טבלאות!$G:$H,2,0))</f>
        <v/>
      </c>
      <c r="M101" s="51" t="str">
        <f t="shared" si="1"/>
        <v/>
      </c>
    </row>
    <row r="102" spans="2:13">
      <c r="B102" s="105"/>
      <c r="C102" s="112"/>
      <c r="D102" s="106"/>
      <c r="E102" s="105"/>
      <c r="F102" s="105"/>
      <c r="G102" s="105"/>
      <c r="H102" s="105"/>
      <c r="I102" s="106"/>
      <c r="L102" s="50" t="str">
        <f>IF(ISERROR(VLOOKUP(B102,טבלאות!$G:$H,2,0)),"",VLOOKUP(B102,טבלאות!$G:$H,2,0))</f>
        <v/>
      </c>
      <c r="M102" s="51" t="str">
        <f t="shared" si="1"/>
        <v/>
      </c>
    </row>
    <row r="103" spans="2:13">
      <c r="B103" s="105"/>
      <c r="C103" s="112"/>
      <c r="D103" s="122"/>
      <c r="E103" s="105"/>
      <c r="F103" s="105"/>
      <c r="G103" s="105"/>
      <c r="H103" s="105"/>
      <c r="I103" s="106"/>
      <c r="L103" s="50" t="str">
        <f>IF(ISERROR(VLOOKUP(B103,טבלאות!$G:$H,2,0)),"",VLOOKUP(B103,טבלאות!$G:$H,2,0))</f>
        <v/>
      </c>
      <c r="M103" s="51" t="str">
        <f t="shared" si="1"/>
        <v/>
      </c>
    </row>
    <row r="104" spans="2:13">
      <c r="B104" s="105"/>
      <c r="C104" s="112"/>
      <c r="D104" s="122"/>
      <c r="E104" s="105"/>
      <c r="F104" s="105"/>
      <c r="G104" s="105"/>
      <c r="H104" s="105"/>
      <c r="I104" s="106"/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2:13">
      <c r="B105" s="105"/>
      <c r="C105" s="112"/>
      <c r="D105" s="122"/>
      <c r="E105" s="105"/>
      <c r="F105" s="105"/>
      <c r="G105" s="105"/>
      <c r="H105" s="105"/>
      <c r="I105" s="106"/>
      <c r="L105" s="50" t="str">
        <f>IF(ISERROR(VLOOKUP(B105,טבלאות!$G:$H,2,0)),"",VLOOKUP(B105,טבלאות!$G:$H,2,0))</f>
        <v/>
      </c>
      <c r="M105" s="51" t="str">
        <f t="shared" si="1"/>
        <v/>
      </c>
    </row>
    <row r="106" spans="2:13">
      <c r="B106" s="105"/>
      <c r="C106" s="112"/>
      <c r="D106" s="122"/>
      <c r="E106" s="105"/>
      <c r="F106" s="105"/>
      <c r="G106" s="105"/>
      <c r="H106" s="105"/>
      <c r="I106" s="106"/>
      <c r="L106" s="50" t="str">
        <f>IF(ISERROR(VLOOKUP(B106,טבלאות!$G:$H,2,0)),"",VLOOKUP(B106,טבלאות!$G:$H,2,0))</f>
        <v/>
      </c>
      <c r="M106" s="51" t="str">
        <f t="shared" si="1"/>
        <v/>
      </c>
    </row>
    <row r="107" spans="2:13">
      <c r="B107" s="105"/>
      <c r="C107" s="112"/>
      <c r="D107" s="122"/>
      <c r="E107" s="105"/>
      <c r="F107" s="105"/>
      <c r="G107" s="105"/>
      <c r="H107" s="105"/>
      <c r="I107" s="106"/>
      <c r="L107" s="50" t="str">
        <f>IF(ISERROR(VLOOKUP(B107,טבלאות!$G:$H,2,0)),"",VLOOKUP(B107,טבלאות!$G:$H,2,0))</f>
        <v/>
      </c>
      <c r="M107" s="51" t="str">
        <f t="shared" si="1"/>
        <v/>
      </c>
    </row>
    <row r="108" spans="2:13">
      <c r="B108" s="105"/>
      <c r="C108" s="112"/>
      <c r="D108" s="122"/>
      <c r="E108" s="105"/>
      <c r="F108" s="105"/>
      <c r="G108" s="105"/>
      <c r="H108" s="105"/>
      <c r="I108" s="106"/>
      <c r="L108" s="50" t="str">
        <f>IF(ISERROR(VLOOKUP(B108,טבלאות!$G:$H,2,0)),"",VLOOKUP(B108,טבלאות!$G:$H,2,0))</f>
        <v/>
      </c>
      <c r="M108" s="51" t="str">
        <f t="shared" si="1"/>
        <v/>
      </c>
    </row>
    <row r="109" spans="2:13"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2:13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2:13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2:13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>
      <c r="L113" s="50" t="str">
        <f>IF(ISERROR(VLOOKUP(B113,טבלאות!$G:$H,2,0)),"",VLOOKUP(B113,טבלאות!$G:$H,2,0))</f>
        <v/>
      </c>
      <c r="M113" s="51" t="str">
        <f t="shared" si="1"/>
        <v/>
      </c>
    </row>
    <row r="222" spans="3:13">
      <c r="C222" s="129"/>
      <c r="D222" s="130"/>
      <c r="I222" s="9"/>
      <c r="K222" t="str">
        <f>IF(A222&gt;0,VLOOKUP(A222,טבלאות!$J:$K,2,0),"")</f>
        <v/>
      </c>
      <c r="L222" s="50" t="str">
        <f>IF(ISERROR(VLOOKUP(B222,טבלאות!$G:$H,2,0)),"",VLOOKUP(B222,טבלאות!$G:$H,2,0))</f>
        <v/>
      </c>
      <c r="M222" s="51" t="str">
        <f t="shared" ref="M222:M239" si="2">IF(OR(L222="",L222="?"),"",IF(L222&gt;0,I222,""))</f>
        <v/>
      </c>
    </row>
    <row r="223" spans="3:13">
      <c r="C223" s="129"/>
      <c r="D223" s="130"/>
      <c r="I223" s="9"/>
      <c r="K223" t="str">
        <f>IF(A223&gt;0,VLOOKUP(A223,טבלאות!$J:$K,2,0),"")</f>
        <v/>
      </c>
      <c r="L223" s="50" t="str">
        <f>IF(ISERROR(VLOOKUP(B223,טבלאות!$G:$H,2,0)),"",VLOOKUP(B223,טבלאות!$G:$H,2,0))</f>
        <v/>
      </c>
      <c r="M223" s="51" t="str">
        <f t="shared" si="2"/>
        <v/>
      </c>
    </row>
    <row r="224" spans="3:13">
      <c r="C224" s="129"/>
      <c r="D224" s="130"/>
      <c r="I224" s="9"/>
      <c r="K224" t="str">
        <f>IF(A224&gt;0,VLOOKUP(A224,טבלאות!$J:$K,2,0),"")</f>
        <v/>
      </c>
      <c r="L224" s="50" t="str">
        <f>IF(ISERROR(VLOOKUP(B224,טבלאות!$G:$H,2,0)),"",VLOOKUP(B224,טבלאות!$G:$H,2,0))</f>
        <v/>
      </c>
      <c r="M224" s="51" t="str">
        <f t="shared" si="2"/>
        <v/>
      </c>
    </row>
    <row r="225" spans="3:13">
      <c r="C225" s="129"/>
      <c r="D225" s="130"/>
      <c r="I225" s="9"/>
      <c r="K225" t="str">
        <f>IF(A225&gt;0,VLOOKUP(A225,טבלאות!$J:$K,2,0),"")</f>
        <v/>
      </c>
      <c r="L225" s="50" t="str">
        <f>IF(ISERROR(VLOOKUP(B225,טבלאות!$G:$H,2,0)),"",VLOOKUP(B225,טבלאות!$G:$H,2,0))</f>
        <v/>
      </c>
      <c r="M225" s="51" t="str">
        <f t="shared" si="2"/>
        <v/>
      </c>
    </row>
    <row r="226" spans="3:13">
      <c r="C226" s="129"/>
      <c r="D226" s="130"/>
      <c r="I226" s="9"/>
      <c r="K226" t="str">
        <f>IF(A226&gt;0,VLOOKUP(A226,טבלאות!$J:$K,2,0),"")</f>
        <v/>
      </c>
      <c r="L226" s="50" t="str">
        <f>IF(ISERROR(VLOOKUP(B226,טבלאות!$G:$H,2,0)),"",VLOOKUP(B226,טבלאות!$G:$H,2,0))</f>
        <v/>
      </c>
      <c r="M226" s="51" t="str">
        <f t="shared" si="2"/>
        <v/>
      </c>
    </row>
    <row r="227" spans="3:13">
      <c r="C227" s="129"/>
      <c r="D227" s="130"/>
      <c r="I227" s="9"/>
      <c r="K227" t="str">
        <f>IF(A227&gt;0,VLOOKUP(A227,טבלאות!$J:$K,2,0),"")</f>
        <v/>
      </c>
      <c r="L227" s="50" t="str">
        <f>IF(ISERROR(VLOOKUP(B227,טבלאות!$G:$H,2,0)),"",VLOOKUP(B227,טבלאות!$G:$H,2,0))</f>
        <v/>
      </c>
      <c r="M227" s="51" t="str">
        <f t="shared" si="2"/>
        <v/>
      </c>
    </row>
    <row r="228" spans="3:13">
      <c r="C228" s="129"/>
      <c r="D228" s="130"/>
      <c r="I228" s="9"/>
      <c r="K228" t="str">
        <f>IF(A228&gt;0,VLOOKUP(A228,טבלאות!$J:$K,2,0),"")</f>
        <v/>
      </c>
      <c r="L228" s="50" t="str">
        <f>IF(ISERROR(VLOOKUP(B228,טבלאות!$G:$H,2,0)),"",VLOOKUP(B228,טבלאות!$G:$H,2,0))</f>
        <v/>
      </c>
      <c r="M228" s="51" t="str">
        <f t="shared" si="2"/>
        <v/>
      </c>
    </row>
    <row r="229" spans="3:13">
      <c r="C229" s="129"/>
      <c r="D229" s="130"/>
      <c r="I229" s="9"/>
      <c r="K229" t="str">
        <f>IF(A229&gt;0,VLOOKUP(A229,טבלאות!$J:$K,2,0),"")</f>
        <v/>
      </c>
      <c r="L229" s="50" t="str">
        <f>IF(ISERROR(VLOOKUP(B229,טבלאות!$G:$H,2,0)),"",VLOOKUP(B229,טבלאות!$G:$H,2,0))</f>
        <v/>
      </c>
      <c r="M229" s="51" t="str">
        <f t="shared" si="2"/>
        <v/>
      </c>
    </row>
    <row r="230" spans="3:13">
      <c r="C230" s="129"/>
      <c r="D230" s="130"/>
      <c r="I230" s="9"/>
      <c r="K230" t="str">
        <f>IF(A230&gt;0,VLOOKUP(A230,טבלאות!$J:$K,2,0),"")</f>
        <v/>
      </c>
      <c r="L230" s="50" t="str">
        <f>IF(ISERROR(VLOOKUP(B230,טבלאות!$G:$H,2,0)),"",VLOOKUP(B230,טבלאות!$G:$H,2,0))</f>
        <v/>
      </c>
      <c r="M230" s="51" t="str">
        <f t="shared" si="2"/>
        <v/>
      </c>
    </row>
    <row r="231" spans="3:13">
      <c r="C231" s="129"/>
      <c r="D231" s="130"/>
      <c r="I231" s="9"/>
      <c r="K231" t="str">
        <f>IF(A231&gt;0,VLOOKUP(A231,טבלאות!$J:$K,2,0),"")</f>
        <v/>
      </c>
      <c r="L231" s="50" t="str">
        <f>IF(ISERROR(VLOOKUP(B231,טבלאות!$G:$H,2,0)),"",VLOOKUP(B231,טבלאות!$G:$H,2,0))</f>
        <v/>
      </c>
      <c r="M231" s="51" t="str">
        <f t="shared" si="2"/>
        <v/>
      </c>
    </row>
    <row r="232" spans="3:13">
      <c r="C232" s="129"/>
      <c r="D232" s="130"/>
      <c r="I232" s="9"/>
      <c r="K232" t="str">
        <f>IF(A232&gt;0,VLOOKUP(A232,טבלאות!$J:$K,2,0),"")</f>
        <v/>
      </c>
      <c r="L232" s="50" t="str">
        <f>IF(ISERROR(VLOOKUP(B232,טבלאות!$G:$H,2,0)),"",VLOOKUP(B232,טבלאות!$G:$H,2,0))</f>
        <v/>
      </c>
      <c r="M232" s="51" t="str">
        <f t="shared" si="2"/>
        <v/>
      </c>
    </row>
    <row r="233" spans="3:13">
      <c r="C233" s="129"/>
      <c r="D233" s="130"/>
      <c r="I233" s="9"/>
      <c r="K233" t="str">
        <f>IF(A233&gt;0,VLOOKUP(A233,טבלאות!$J:$K,2,0),"")</f>
        <v/>
      </c>
      <c r="L233" s="50" t="str">
        <f>IF(ISERROR(VLOOKUP(B233,טבלאות!$G:$H,2,0)),"",VLOOKUP(B233,טבלאות!$G:$H,2,0))</f>
        <v/>
      </c>
      <c r="M233" s="51" t="str">
        <f t="shared" si="2"/>
        <v/>
      </c>
    </row>
    <row r="234" spans="3:13">
      <c r="C234" s="129"/>
      <c r="D234" s="130"/>
      <c r="I234" s="9"/>
      <c r="K234" t="str">
        <f>IF(A234&gt;0,VLOOKUP(A234,טבלאות!$J:$K,2,0),"")</f>
        <v/>
      </c>
      <c r="L234" s="50" t="str">
        <f>IF(ISERROR(VLOOKUP(B234,טבלאות!$G:$H,2,0)),"",VLOOKUP(B234,טבלאות!$G:$H,2,0))</f>
        <v/>
      </c>
      <c r="M234" s="51" t="str">
        <f t="shared" si="2"/>
        <v/>
      </c>
    </row>
    <row r="235" spans="3:13">
      <c r="C235" s="129"/>
      <c r="D235" s="130"/>
      <c r="I235" s="9"/>
      <c r="K235" t="str">
        <f>IF(A235&gt;0,VLOOKUP(A235,טבלאות!$J:$K,2,0),"")</f>
        <v/>
      </c>
      <c r="L235" s="50" t="str">
        <f>IF(ISERROR(VLOOKUP(B235,טבלאות!$G:$H,2,0)),"",VLOOKUP(B235,טבלאות!$G:$H,2,0))</f>
        <v/>
      </c>
      <c r="M235" s="51" t="str">
        <f t="shared" si="2"/>
        <v/>
      </c>
    </row>
    <row r="236" spans="3:13">
      <c r="C236" s="129"/>
      <c r="D236" s="130"/>
      <c r="I236" s="9"/>
      <c r="K236" t="str">
        <f>IF(A236&gt;0,VLOOKUP(A236,טבלאות!$J:$K,2,0),"")</f>
        <v/>
      </c>
      <c r="L236" s="50" t="str">
        <f>IF(ISERROR(VLOOKUP(B236,טבלאות!$G:$H,2,0)),"",VLOOKUP(B236,טבלאות!$G:$H,2,0))</f>
        <v/>
      </c>
      <c r="M236" s="51" t="str">
        <f t="shared" si="2"/>
        <v/>
      </c>
    </row>
    <row r="237" spans="3:13">
      <c r="C237" s="129"/>
      <c r="D237" s="130"/>
      <c r="I237" s="9"/>
      <c r="K237" t="str">
        <f>IF(A237&gt;0,VLOOKUP(A237,טבלאות!$J:$K,2,0),"")</f>
        <v/>
      </c>
      <c r="L237" s="50" t="str">
        <f>IF(ISERROR(VLOOKUP(B237,טבלאות!$G:$H,2,0)),"",VLOOKUP(B237,טבלאות!$G:$H,2,0))</f>
        <v/>
      </c>
      <c r="M237" s="51" t="str">
        <f t="shared" si="2"/>
        <v/>
      </c>
    </row>
    <row r="238" spans="3:13">
      <c r="C238" s="129"/>
      <c r="D238" s="130"/>
      <c r="I238" s="9"/>
      <c r="K238" t="str">
        <f>IF(A238&gt;0,VLOOKUP(A238,טבלאות!$J:$K,2,0),"")</f>
        <v/>
      </c>
      <c r="L238" s="50" t="str">
        <f>IF(ISERROR(VLOOKUP(B238,טבלאות!$G:$H,2,0)),"",VLOOKUP(B238,טבלאות!$G:$H,2,0))</f>
        <v/>
      </c>
      <c r="M238" s="51" t="str">
        <f t="shared" si="2"/>
        <v/>
      </c>
    </row>
    <row r="239" spans="3:13">
      <c r="C239" s="129"/>
      <c r="D239" s="130"/>
      <c r="I239" s="9"/>
      <c r="K239" t="str">
        <f>IF(A239&gt;0,VLOOKUP(A239,טבלאות!$J:$K,2,0),"")</f>
        <v/>
      </c>
      <c r="L239" s="50" t="str">
        <f>IF(ISERROR(VLOOKUP(B239,טבלאות!$G:$H,2,0)),"",VLOOKUP(B239,טבלאות!$G:$H,2,0))</f>
        <v/>
      </c>
      <c r="M239" s="51" t="str">
        <f t="shared" si="2"/>
        <v/>
      </c>
    </row>
  </sheetData>
  <autoFilter ref="A1:N239" xr:uid="{87EA0BCD-C234-48E2-8A73-5ED5DF4D6777}"/>
  <conditionalFormatting sqref="L2:L113 L222:L239">
    <cfRule type="cellIs" dxfId="2" priority="1" operator="equal">
      <formula>""</formula>
    </cfRule>
  </conditionalFormatting>
  <dataValidations count="2">
    <dataValidation type="list" allowBlank="1" showInputMessage="1" showErrorMessage="1" sqref="L2:L113 L222:L239" xr:uid="{E66B6116-BFE7-4DEA-BB45-BE8BD3C9924F}">
      <formula1>סוגי_הוצאות</formula1>
    </dataValidation>
    <dataValidation type="list" allowBlank="1" showInputMessage="1" showErrorMessage="1" sqref="K2:K113 K222:K239" xr:uid="{2FD44C34-E403-4A1D-B5BC-052B6B750963}">
      <formula1>סוג_כרטיס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G113"/>
  <sheetViews>
    <sheetView rightToLeft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47" sqref="N47"/>
    </sheetView>
  </sheetViews>
  <sheetFormatPr defaultRowHeight="15"/>
  <cols>
    <col min="1" max="1" width="16.42578125" customWidth="1"/>
    <col min="2" max="2" width="22.28515625" bestFit="1" customWidth="1"/>
    <col min="3" max="3" width="16.140625" customWidth="1"/>
    <col min="4" max="4" width="16.85546875" customWidth="1"/>
    <col min="5" max="5" width="9.85546875" bestFit="1" customWidth="1"/>
    <col min="6" max="6" width="13.42578125" bestFit="1" customWidth="1"/>
    <col min="7" max="8" width="17.42578125" customWidth="1"/>
    <col min="9" max="9" width="14.85546875" bestFit="1" customWidth="1"/>
    <col min="11" max="11" width="12.140625" style="73" customWidth="1"/>
    <col min="12" max="12" width="17" style="73" bestFit="1" customWidth="1"/>
    <col min="13" max="13" width="9.140625" style="73"/>
    <col min="14" max="14" width="10.42578125" customWidth="1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>
      <c r="A2" s="108"/>
      <c r="B2" s="108"/>
      <c r="C2" s="108"/>
      <c r="D2" s="109"/>
      <c r="E2" s="108"/>
      <c r="F2" s="108"/>
      <c r="G2" s="108"/>
      <c r="H2" s="108"/>
      <c r="I2" s="109"/>
      <c r="J2" s="106"/>
      <c r="K2" t="str">
        <f>IF(A2&gt;0,VLOOKUP(A2,טבלאות!$J:$K,2,0),"")</f>
        <v/>
      </c>
      <c r="L2" s="50" t="str">
        <f>IF(ISERROR(VLOOKUP(B2,טבלאות!$G:$H,2,0)),"",VLOOKUP(B2,טבלאות!$G:$H,2,0))</f>
        <v/>
      </c>
      <c r="M2" s="51" t="str">
        <f t="shared" ref="M2:M65" si="0">IF(OR(L2="",L2="?"),"",IF(L2&gt;0,I2,""))</f>
        <v/>
      </c>
    </row>
    <row r="3" spans="1:111" s="36" customFormat="1" ht="19.5" customHeight="1">
      <c r="A3" s="108"/>
      <c r="B3" s="108"/>
      <c r="C3" s="108"/>
      <c r="D3" s="109"/>
      <c r="E3" s="108"/>
      <c r="F3" s="108"/>
      <c r="G3" s="108"/>
      <c r="H3" s="108"/>
      <c r="I3" s="109"/>
      <c r="J3" s="106"/>
      <c r="K3" t="str">
        <f>IF(A3&gt;0,VLOOKUP(A3,טבלאות!$J:$K,2,0),"")</f>
        <v/>
      </c>
      <c r="L3" s="50" t="str">
        <f>IF(ISERROR(VLOOKUP(B3,טבלאות!$G:$H,2,0)),"",VLOOKUP(B3,טבלאות!$G:$H,2,0))</f>
        <v/>
      </c>
      <c r="M3" s="51" t="str">
        <f t="shared" si="0"/>
        <v/>
      </c>
    </row>
    <row r="4" spans="1:111" ht="15" customHeight="1">
      <c r="A4" s="108"/>
      <c r="B4" s="108"/>
      <c r="C4" s="108"/>
      <c r="D4" s="109"/>
      <c r="E4" s="108"/>
      <c r="F4" s="108"/>
      <c r="G4" s="108"/>
      <c r="H4" s="108"/>
      <c r="I4" s="109"/>
      <c r="J4" s="106"/>
      <c r="K4" t="str">
        <f>IF(A4&gt;0,VLOOKUP(A4,טבלאות!$J:$K,2,0),"")</f>
        <v/>
      </c>
      <c r="L4" s="50" t="str">
        <f>IF(ISERROR(VLOOKUP(B4,טבלאות!$G:$H,2,0)),"",VLOOKUP(B4,טבלאות!$G:$H,2,0))</f>
        <v/>
      </c>
      <c r="M4" s="51" t="str">
        <f t="shared" si="0"/>
        <v/>
      </c>
    </row>
    <row r="5" spans="1:111" ht="15" customHeight="1">
      <c r="A5" s="108"/>
      <c r="B5" s="108"/>
      <c r="C5" s="108"/>
      <c r="D5" s="109"/>
      <c r="E5" s="108"/>
      <c r="F5" s="108"/>
      <c r="G5" s="108"/>
      <c r="H5" s="108"/>
      <c r="I5" s="109"/>
      <c r="J5" s="106"/>
      <c r="K5" t="str">
        <f>IF(A5&gt;0,VLOOKUP(A5,טבלאות!$J:$K,2,0),"")</f>
        <v/>
      </c>
      <c r="L5" s="50" t="str">
        <f>IF(ISERROR(VLOOKUP(B5,טבלאות!$G:$H,2,0)),"",VLOOKUP(B5,טבלאות!$G:$H,2,0))</f>
        <v/>
      </c>
      <c r="M5" s="51" t="str">
        <f t="shared" si="0"/>
        <v/>
      </c>
    </row>
    <row r="6" spans="1:111" ht="20.25" customHeight="1">
      <c r="A6" s="108"/>
      <c r="B6" s="108"/>
      <c r="C6" s="108"/>
      <c r="D6" s="109"/>
      <c r="E6" s="108"/>
      <c r="F6" s="108"/>
      <c r="G6" s="108"/>
      <c r="H6" s="108"/>
      <c r="I6" s="109"/>
      <c r="J6" s="106"/>
      <c r="K6" t="str">
        <f>IF(A6&gt;0,VLOOKUP(A6,טבלאות!$J:$K,2,0),"")</f>
        <v/>
      </c>
      <c r="L6" s="50" t="str">
        <f>IF(ISERROR(VLOOKUP(B6,טבלאות!$G:$H,2,0)),"",VLOOKUP(B6,טבלאות!$G:$H,2,0))</f>
        <v/>
      </c>
      <c r="M6" s="51" t="str">
        <f t="shared" si="0"/>
        <v/>
      </c>
    </row>
    <row r="7" spans="1:111" ht="15.75" customHeight="1">
      <c r="A7" s="108"/>
      <c r="B7" s="108"/>
      <c r="C7" s="108"/>
      <c r="D7" s="109"/>
      <c r="E7" s="108"/>
      <c r="F7" s="108"/>
      <c r="G7" s="108"/>
      <c r="H7" s="108"/>
      <c r="I7" s="109"/>
      <c r="J7" s="106"/>
      <c r="K7" t="str">
        <f>IF(A7&gt;0,VLOOKUP(A7,טבלאות!$J:$K,2,0),"")</f>
        <v/>
      </c>
      <c r="L7" s="50" t="str">
        <f>IF(ISERROR(VLOOKUP(B7,טבלאות!$G:$H,2,0)),"",VLOOKUP(B7,טבלאות!$G:$H,2,0))</f>
        <v/>
      </c>
      <c r="M7" s="51" t="str">
        <f t="shared" si="0"/>
        <v/>
      </c>
    </row>
    <row r="8" spans="1:111" ht="15" customHeight="1">
      <c r="A8" s="108"/>
      <c r="B8" s="108"/>
      <c r="C8" s="108"/>
      <c r="D8" s="109"/>
      <c r="E8" s="108"/>
      <c r="F8" s="108"/>
      <c r="G8" s="108"/>
      <c r="H8" s="108"/>
      <c r="I8" s="109"/>
      <c r="J8" s="106"/>
      <c r="K8" t="str">
        <f>IF(A8&gt;0,VLOOKUP(A8,טבלאות!$J:$K,2,0),"")</f>
        <v/>
      </c>
      <c r="L8" s="50" t="str">
        <f>IF(ISERROR(VLOOKUP(B8,טבלאות!$G:$H,2,0)),"",VLOOKUP(B8,טבלאות!$G:$H,2,0))</f>
        <v/>
      </c>
      <c r="M8" s="51" t="str">
        <f t="shared" si="0"/>
        <v/>
      </c>
    </row>
    <row r="9" spans="1:111" ht="15" customHeight="1">
      <c r="A9" s="108"/>
      <c r="B9" s="108"/>
      <c r="C9" s="108"/>
      <c r="D9" s="109"/>
      <c r="E9" s="108"/>
      <c r="F9" s="108"/>
      <c r="G9" s="108"/>
      <c r="H9" s="108"/>
      <c r="I9" s="109"/>
      <c r="J9" s="106"/>
      <c r="K9" t="str">
        <f>IF(A9&gt;0,VLOOKUP(A9,טבלאות!$J:$K,2,0),"")</f>
        <v/>
      </c>
      <c r="L9" s="50" t="str">
        <f>IF(ISERROR(VLOOKUP(B9,טבלאות!$G:$H,2,0)),"",VLOOKUP(B9,טבלאות!$G:$H,2,0))</f>
        <v/>
      </c>
      <c r="M9" s="51" t="str">
        <f t="shared" si="0"/>
        <v/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>
      <c r="A10" s="108"/>
      <c r="B10" s="108"/>
      <c r="C10" s="108"/>
      <c r="D10" s="109"/>
      <c r="E10" s="108"/>
      <c r="F10" s="108"/>
      <c r="G10" s="108"/>
      <c r="H10" s="108"/>
      <c r="I10" s="109"/>
      <c r="J10" s="106"/>
      <c r="K10" t="str">
        <f>IF(A10&gt;0,VLOOKUP(A10,טבלאות!$J:$K,2,0),"")</f>
        <v/>
      </c>
      <c r="L10" s="50" t="str">
        <f>IF(ISERROR(VLOOKUP(B10,טבלאות!$G:$H,2,0)),"",VLOOKUP(B10,טבלאות!$G:$H,2,0))</f>
        <v/>
      </c>
      <c r="M10" s="51" t="str">
        <f t="shared" si="0"/>
        <v/>
      </c>
    </row>
    <row r="11" spans="1:111">
      <c r="A11" s="108"/>
      <c r="B11" s="108"/>
      <c r="C11" s="108"/>
      <c r="D11" s="109"/>
      <c r="E11" s="108"/>
      <c r="F11" s="108"/>
      <c r="G11" s="108"/>
      <c r="H11" s="108"/>
      <c r="I11" s="109"/>
      <c r="J11" s="106"/>
      <c r="K11" t="str">
        <f>IF(A11&gt;0,VLOOKUP(A11,טבלאות!$J:$K,2,0),"")</f>
        <v/>
      </c>
      <c r="L11" s="50" t="str">
        <f>IF(ISERROR(VLOOKUP(B11,טבלאות!$G:$H,2,0)),"",VLOOKUP(B11,טבלאות!$G:$H,2,0))</f>
        <v/>
      </c>
      <c r="M11" s="51" t="str">
        <f t="shared" si="0"/>
        <v/>
      </c>
    </row>
    <row r="12" spans="1:111">
      <c r="A12" s="108"/>
      <c r="B12" s="108"/>
      <c r="C12" s="108"/>
      <c r="D12" s="109"/>
      <c r="E12" s="108"/>
      <c r="F12" s="108"/>
      <c r="G12" s="108"/>
      <c r="H12" s="108"/>
      <c r="I12" s="109"/>
      <c r="J12" s="106"/>
      <c r="K12" t="str">
        <f>IF(A12&gt;0,VLOOKUP(A12,טבלאות!$J:$K,2,0),"")</f>
        <v/>
      </c>
      <c r="L12" s="50" t="str">
        <f>IF(ISERROR(VLOOKUP(B12,טבלאות!$G:$H,2,0)),"",VLOOKUP(B12,טבלאות!$G:$H,2,0))</f>
        <v/>
      </c>
      <c r="M12" s="51" t="str">
        <f t="shared" si="0"/>
        <v/>
      </c>
    </row>
    <row r="13" spans="1:111">
      <c r="A13" s="108"/>
      <c r="B13" s="108"/>
      <c r="C13" s="108"/>
      <c r="D13" s="109"/>
      <c r="E13" s="108"/>
      <c r="F13" s="108"/>
      <c r="G13" s="108"/>
      <c r="H13" s="108"/>
      <c r="I13" s="109"/>
      <c r="J13" s="106"/>
      <c r="K13" t="str">
        <f>IF(A13&gt;0,VLOOKUP(A13,טבלאות!$J:$K,2,0),"")</f>
        <v/>
      </c>
      <c r="L13" s="50" t="str">
        <f>IF(ISERROR(VLOOKUP(B13,טבלאות!$G:$H,2,0)),"",VLOOKUP(B13,טבלאות!$G:$H,2,0))</f>
        <v/>
      </c>
      <c r="M13" s="51" t="str">
        <f t="shared" si="0"/>
        <v/>
      </c>
    </row>
    <row r="14" spans="1:111">
      <c r="A14" s="108"/>
      <c r="B14" s="108"/>
      <c r="C14" s="108"/>
      <c r="D14" s="109"/>
      <c r="E14" s="108"/>
      <c r="F14" s="108"/>
      <c r="G14" s="108"/>
      <c r="H14" s="108"/>
      <c r="I14" s="109"/>
      <c r="J14" s="106"/>
      <c r="K14" t="str">
        <f>IF(A14&gt;0,VLOOKUP(A14,טבלאות!$J:$K,2,0),"")</f>
        <v/>
      </c>
      <c r="L14" s="50" t="str">
        <f>IF(ISERROR(VLOOKUP(B14,טבלאות!$G:$H,2,0)),"",VLOOKUP(B14,טבלאות!$G:$H,2,0))</f>
        <v/>
      </c>
      <c r="M14" s="51" t="str">
        <f t="shared" si="0"/>
        <v/>
      </c>
    </row>
    <row r="15" spans="1:111">
      <c r="A15" s="108"/>
      <c r="B15" s="108"/>
      <c r="C15" s="108"/>
      <c r="D15" s="109"/>
      <c r="E15" s="108"/>
      <c r="F15" s="108"/>
      <c r="G15" s="108"/>
      <c r="H15" s="108"/>
      <c r="I15" s="109"/>
      <c r="J15" s="106"/>
      <c r="K15" t="str">
        <f>IF(A15&gt;0,VLOOKUP(A15,טבלאות!$J:$K,2,0),"")</f>
        <v/>
      </c>
      <c r="L15" s="50" t="str">
        <f>IF(ISERROR(VLOOKUP(B15,טבלאות!$G:$H,2,0)),"",VLOOKUP(B15,טבלאות!$G:$H,2,0))</f>
        <v/>
      </c>
      <c r="M15" s="51" t="str">
        <f t="shared" si="0"/>
        <v/>
      </c>
    </row>
    <row r="16" spans="1:111">
      <c r="A16" s="108"/>
      <c r="B16" s="108"/>
      <c r="C16" s="108"/>
      <c r="D16" s="109"/>
      <c r="E16" s="108"/>
      <c r="F16" s="108"/>
      <c r="G16" s="108"/>
      <c r="H16" s="108"/>
      <c r="I16" s="109"/>
      <c r="J16" s="106"/>
      <c r="K16" t="str">
        <f>IF(A16&gt;0,VLOOKUP(A16,טבלאות!$J:$K,2,0),"")</f>
        <v/>
      </c>
      <c r="L16" s="50" t="str">
        <f>IF(ISERROR(VLOOKUP(B16,טבלאות!$G:$H,2,0)),"",VLOOKUP(B16,טבלאות!$G:$H,2,0))</f>
        <v/>
      </c>
      <c r="M16" s="51" t="str">
        <f t="shared" si="0"/>
        <v/>
      </c>
    </row>
    <row r="17" spans="1:13">
      <c r="A17" s="108"/>
      <c r="B17" s="108"/>
      <c r="C17" s="108"/>
      <c r="D17" s="109"/>
      <c r="E17" s="108"/>
      <c r="F17" s="108"/>
      <c r="G17" s="108"/>
      <c r="H17" s="108"/>
      <c r="I17" s="109"/>
      <c r="J17" s="106"/>
      <c r="K17" t="str">
        <f>IF(A17&gt;0,VLOOKUP(A17,טבלאות!$J:$K,2,0),"")</f>
        <v/>
      </c>
      <c r="L17" s="50" t="str">
        <f>IF(ISERROR(VLOOKUP(B17,טבלאות!$G:$H,2,0)),"",VLOOKUP(B17,טבלאות!$G:$H,2,0))</f>
        <v/>
      </c>
      <c r="M17" s="51" t="str">
        <f t="shared" si="0"/>
        <v/>
      </c>
    </row>
    <row r="18" spans="1:13">
      <c r="A18" s="108"/>
      <c r="B18" s="108"/>
      <c r="C18" s="108"/>
      <c r="D18" s="109"/>
      <c r="E18" s="108"/>
      <c r="F18" s="108"/>
      <c r="G18" s="108"/>
      <c r="H18" s="108"/>
      <c r="I18" s="109"/>
      <c r="J18" s="106"/>
      <c r="K18" t="str">
        <f>IF(A18&gt;0,VLOOKUP(A18,טבלאות!$J:$K,2,0),"")</f>
        <v/>
      </c>
      <c r="L18" s="50" t="str">
        <f>IF(ISERROR(VLOOKUP(B18,טבלאות!$G:$H,2,0)),"",VLOOKUP(B18,טבלאות!$G:$H,2,0))</f>
        <v/>
      </c>
      <c r="M18" s="51" t="str">
        <f t="shared" si="0"/>
        <v/>
      </c>
    </row>
    <row r="19" spans="1:13">
      <c r="A19" s="108"/>
      <c r="B19" s="108"/>
      <c r="C19" s="108"/>
      <c r="D19" s="109"/>
      <c r="E19" s="108"/>
      <c r="F19" s="108"/>
      <c r="G19" s="108"/>
      <c r="H19" s="108"/>
      <c r="I19" s="109"/>
      <c r="J19" s="106"/>
      <c r="K19" t="str">
        <f>IF(A19&gt;0,VLOOKUP(A19,טבלאות!$J:$K,2,0),"")</f>
        <v/>
      </c>
      <c r="L19" s="50" t="str">
        <f>IF(ISERROR(VLOOKUP(B19,טבלאות!$G:$H,2,0)),"",VLOOKUP(B19,טבלאות!$G:$H,2,0))</f>
        <v/>
      </c>
      <c r="M19" s="51" t="str">
        <f t="shared" si="0"/>
        <v/>
      </c>
    </row>
    <row r="20" spans="1:13">
      <c r="A20" s="108"/>
      <c r="B20" s="108"/>
      <c r="C20" s="108"/>
      <c r="D20" s="109"/>
      <c r="E20" s="108"/>
      <c r="F20" s="108"/>
      <c r="G20" s="108"/>
      <c r="H20" s="108"/>
      <c r="I20" s="109"/>
      <c r="J20" s="106"/>
      <c r="K20" t="str">
        <f>IF(A20&gt;0,VLOOKUP(A20,טבלאות!$J:$K,2,0),"")</f>
        <v/>
      </c>
      <c r="L20" s="50" t="str">
        <f>IF(ISERROR(VLOOKUP(B20,טבלאות!$G:$H,2,0)),"",VLOOKUP(B20,טבלאות!$G:$H,2,0))</f>
        <v/>
      </c>
      <c r="M20" s="51" t="str">
        <f t="shared" si="0"/>
        <v/>
      </c>
    </row>
    <row r="21" spans="1:13">
      <c r="A21" s="108"/>
      <c r="B21" s="108"/>
      <c r="C21" s="108"/>
      <c r="D21" s="109"/>
      <c r="E21" s="108"/>
      <c r="F21" s="108"/>
      <c r="G21" s="108"/>
      <c r="H21" s="108"/>
      <c r="I21" s="109"/>
      <c r="J21" s="106"/>
      <c r="K21" t="str">
        <f>IF(A21&gt;0,VLOOKUP(A21,טבלאות!$J:$K,2,0),"")</f>
        <v/>
      </c>
      <c r="L21" s="50" t="str">
        <f>IF(ISERROR(VLOOKUP(B21,טבלאות!$G:$H,2,0)),"",VLOOKUP(B21,טבלאות!$G:$H,2,0))</f>
        <v/>
      </c>
      <c r="M21" s="51" t="str">
        <f t="shared" si="0"/>
        <v/>
      </c>
    </row>
    <row r="22" spans="1:13">
      <c r="A22" s="108"/>
      <c r="B22" s="108"/>
      <c r="C22" s="108"/>
      <c r="D22" s="109"/>
      <c r="E22" s="108"/>
      <c r="F22" s="108"/>
      <c r="G22" s="108"/>
      <c r="H22" s="108"/>
      <c r="I22" s="109"/>
      <c r="J22" s="106"/>
      <c r="K22" t="str">
        <f>IF(A22&gt;0,VLOOKUP(A22,טבלאות!$J:$K,2,0),"")</f>
        <v/>
      </c>
      <c r="L22" s="50" t="str">
        <f>IF(ISERROR(VLOOKUP(B22,טבלאות!$G:$H,2,0)),"",VLOOKUP(B22,טבלאות!$G:$H,2,0))</f>
        <v/>
      </c>
      <c r="M22" s="51" t="str">
        <f t="shared" si="0"/>
        <v/>
      </c>
    </row>
    <row r="23" spans="1:13">
      <c r="A23" s="108"/>
      <c r="B23" s="108"/>
      <c r="C23" s="108"/>
      <c r="D23" s="109"/>
      <c r="E23" s="108"/>
      <c r="F23" s="108"/>
      <c r="G23" s="108"/>
      <c r="H23" s="108"/>
      <c r="I23" s="109"/>
      <c r="J23" s="106"/>
      <c r="K23" t="str">
        <f>IF(A23&gt;0,VLOOKUP(A23,טבלאות!$J:$K,2,0),"")</f>
        <v/>
      </c>
      <c r="L23" s="50" t="str">
        <f>IF(ISERROR(VLOOKUP(B23,טבלאות!$G:$H,2,0)),"",VLOOKUP(B23,טבלאות!$G:$H,2,0))</f>
        <v/>
      </c>
      <c r="M23" s="51" t="str">
        <f t="shared" si="0"/>
        <v/>
      </c>
    </row>
    <row r="24" spans="1:13">
      <c r="A24" s="108"/>
      <c r="B24" s="108"/>
      <c r="C24" s="108"/>
      <c r="D24" s="109"/>
      <c r="E24" s="108"/>
      <c r="F24" s="108"/>
      <c r="G24" s="108"/>
      <c r="H24" s="108"/>
      <c r="I24" s="109"/>
      <c r="J24" s="106"/>
      <c r="K24" t="str">
        <f>IF(A24&gt;0,VLOOKUP(A24,טבלאות!$J:$K,2,0),"")</f>
        <v/>
      </c>
      <c r="L24" s="50" t="str">
        <f>IF(ISERROR(VLOOKUP(B24,טבלאות!$G:$H,2,0)),"",VLOOKUP(B24,טבלאות!$G:$H,2,0))</f>
        <v/>
      </c>
      <c r="M24" s="51" t="str">
        <f t="shared" si="0"/>
        <v/>
      </c>
    </row>
    <row r="25" spans="1:13">
      <c r="A25" s="108"/>
      <c r="B25" s="108"/>
      <c r="C25" s="108"/>
      <c r="D25" s="109"/>
      <c r="E25" s="108"/>
      <c r="F25" s="108"/>
      <c r="G25" s="108"/>
      <c r="H25" s="108"/>
      <c r="I25" s="109"/>
      <c r="J25" s="106"/>
      <c r="K25" t="str">
        <f>IF(A25&gt;0,VLOOKUP(A25,טבלאות!$J:$K,2,0),"")</f>
        <v/>
      </c>
      <c r="L25" s="50" t="str">
        <f>IF(ISERROR(VLOOKUP(B25,טבלאות!$G:$H,2,0)),"",VLOOKUP(B25,טבלאות!$G:$H,2,0))</f>
        <v/>
      </c>
      <c r="M25" s="51" t="str">
        <f t="shared" si="0"/>
        <v/>
      </c>
    </row>
    <row r="26" spans="1:13">
      <c r="A26" s="108"/>
      <c r="B26" s="108"/>
      <c r="C26" s="108"/>
      <c r="D26" s="109"/>
      <c r="E26" s="108"/>
      <c r="F26" s="108"/>
      <c r="G26" s="108"/>
      <c r="H26" s="108"/>
      <c r="I26" s="109"/>
      <c r="J26" s="106"/>
      <c r="K26" t="str">
        <f>IF(A26&gt;0,VLOOKUP(A26,טבלאות!$J:$K,2,0),"")</f>
        <v/>
      </c>
      <c r="L26" s="50" t="str">
        <f>IF(ISERROR(VLOOKUP(B26,טבלאות!$G:$H,2,0)),"",VLOOKUP(B26,טבלאות!$G:$H,2,0))</f>
        <v/>
      </c>
      <c r="M26" s="51" t="str">
        <f t="shared" si="0"/>
        <v/>
      </c>
    </row>
    <row r="27" spans="1:13">
      <c r="A27" s="108"/>
      <c r="B27" s="108"/>
      <c r="C27" s="108"/>
      <c r="D27" s="109"/>
      <c r="E27" s="108"/>
      <c r="F27" s="108"/>
      <c r="G27" s="108"/>
      <c r="H27" s="108"/>
      <c r="I27" s="109"/>
      <c r="J27" s="106"/>
      <c r="K27" t="str">
        <f>IF(A27&gt;0,VLOOKUP(A27,טבלאות!$J:$K,2,0),"")</f>
        <v/>
      </c>
      <c r="L27" s="50" t="str">
        <f>IF(ISERROR(VLOOKUP(B27,טבלאות!$G:$H,2,0)),"",VLOOKUP(B27,טבלאות!$G:$H,2,0))</f>
        <v/>
      </c>
      <c r="M27" s="51" t="str">
        <f t="shared" si="0"/>
        <v/>
      </c>
    </row>
    <row r="28" spans="1:13">
      <c r="A28" s="108"/>
      <c r="B28" s="108"/>
      <c r="C28" s="108"/>
      <c r="D28" s="109"/>
      <c r="E28" s="108"/>
      <c r="F28" s="108"/>
      <c r="G28" s="108"/>
      <c r="H28" s="108"/>
      <c r="I28" s="109"/>
      <c r="J28" s="106"/>
      <c r="K28" t="str">
        <f>IF(A28&gt;0,VLOOKUP(A28,טבלאות!$J:$K,2,0),"")</f>
        <v/>
      </c>
      <c r="L28" s="50" t="str">
        <f>IF(ISERROR(VLOOKUP(B28,טבלאות!$G:$H,2,0)),"",VLOOKUP(B28,טבלאות!$G:$H,2,0))</f>
        <v/>
      </c>
      <c r="M28" s="51" t="str">
        <f t="shared" si="0"/>
        <v/>
      </c>
    </row>
    <row r="29" spans="1:13">
      <c r="A29" s="108"/>
      <c r="B29" s="108"/>
      <c r="C29" s="108"/>
      <c r="D29" s="109"/>
      <c r="E29" s="108"/>
      <c r="F29" s="108"/>
      <c r="G29" s="108"/>
      <c r="H29" s="108"/>
      <c r="I29" s="109"/>
      <c r="J29" s="106"/>
      <c r="K29" t="str">
        <f>IF(A29&gt;0,VLOOKUP(A29,טבלאות!$J:$K,2,0),"")</f>
        <v/>
      </c>
      <c r="L29" s="50" t="str">
        <f>IF(ISERROR(VLOOKUP(B29,טבלאות!$G:$H,2,0)),"",VLOOKUP(B29,טבלאות!$G:$H,2,0))</f>
        <v/>
      </c>
      <c r="M29" s="51" t="str">
        <f t="shared" si="0"/>
        <v/>
      </c>
    </row>
    <row r="30" spans="1:13">
      <c r="A30" s="108"/>
      <c r="B30" s="108"/>
      <c r="C30" s="108"/>
      <c r="D30" s="109"/>
      <c r="E30" s="108"/>
      <c r="F30" s="108"/>
      <c r="G30" s="108"/>
      <c r="H30" s="108"/>
      <c r="I30" s="109"/>
      <c r="J30" s="106"/>
      <c r="K30" t="str">
        <f>IF(A30&gt;0,VLOOKUP(A30,טבלאות!$J:$K,2,0),"")</f>
        <v/>
      </c>
      <c r="L30" s="50" t="str">
        <f>IF(ISERROR(VLOOKUP(B30,טבלאות!$G:$H,2,0)),"",VLOOKUP(B30,טבלאות!$G:$H,2,0))</f>
        <v/>
      </c>
      <c r="M30" s="51" t="str">
        <f t="shared" si="0"/>
        <v/>
      </c>
    </row>
    <row r="31" spans="1:13">
      <c r="A31" s="108"/>
      <c r="B31" s="108"/>
      <c r="C31" s="108"/>
      <c r="D31" s="109"/>
      <c r="E31" s="108"/>
      <c r="F31" s="108"/>
      <c r="G31" s="108"/>
      <c r="H31" s="108"/>
      <c r="I31" s="109"/>
      <c r="J31" s="106"/>
      <c r="K31" t="str">
        <f>IF(A31&gt;0,VLOOKUP(A31,טבלאות!$J:$K,2,0),"")</f>
        <v/>
      </c>
      <c r="L31" s="50" t="str">
        <f>IF(ISERROR(VLOOKUP(B31,טבלאות!$G:$H,2,0)),"",VLOOKUP(B31,טבלאות!$G:$H,2,0))</f>
        <v/>
      </c>
      <c r="M31" s="51" t="str">
        <f t="shared" si="0"/>
        <v/>
      </c>
    </row>
    <row r="32" spans="1:13">
      <c r="A32" s="108"/>
      <c r="B32" s="108"/>
      <c r="C32" s="108"/>
      <c r="D32" s="109"/>
      <c r="E32" s="108"/>
      <c r="F32" s="108"/>
      <c r="G32" s="108"/>
      <c r="H32" s="108"/>
      <c r="I32" s="109"/>
      <c r="J32" s="106"/>
      <c r="K32" t="str">
        <f>IF(A32&gt;0,VLOOKUP(A32,טבלאות!$J:$K,2,0),"")</f>
        <v/>
      </c>
      <c r="L32" s="50" t="str">
        <f>IF(ISERROR(VLOOKUP(B32,טבלאות!$G:$H,2,0)),"",VLOOKUP(B32,טבלאות!$G:$H,2,0))</f>
        <v/>
      </c>
      <c r="M32" s="51" t="str">
        <f t="shared" si="0"/>
        <v/>
      </c>
    </row>
    <row r="33" spans="1:13">
      <c r="A33" s="108"/>
      <c r="B33" s="108"/>
      <c r="C33" s="108"/>
      <c r="D33" s="109"/>
      <c r="E33" s="108"/>
      <c r="F33" s="108"/>
      <c r="G33" s="108"/>
      <c r="H33" s="108"/>
      <c r="I33" s="109"/>
      <c r="J33" s="106"/>
      <c r="K33" t="str">
        <f>IF(A33&gt;0,VLOOKUP(A33,טבלאות!$J:$K,2,0),"")</f>
        <v/>
      </c>
      <c r="L33" s="50" t="str">
        <f>IF(ISERROR(VLOOKUP(B33,טבלאות!$G:$H,2,0)),"",VLOOKUP(B33,טבלאות!$G:$H,2,0))</f>
        <v/>
      </c>
      <c r="M33" s="51" t="str">
        <f t="shared" si="0"/>
        <v/>
      </c>
    </row>
    <row r="34" spans="1:13">
      <c r="A34" s="108"/>
      <c r="B34" s="108"/>
      <c r="C34" s="108"/>
      <c r="D34" s="109"/>
      <c r="E34" s="108"/>
      <c r="F34" s="108"/>
      <c r="G34" s="108"/>
      <c r="H34" s="108"/>
      <c r="I34" s="109"/>
      <c r="J34" s="106"/>
      <c r="K34" t="str">
        <f>IF(A34&gt;0,VLOOKUP(A34,טבלאות!$J:$K,2,0),"")</f>
        <v/>
      </c>
      <c r="L34" s="50" t="str">
        <f>IF(ISERROR(VLOOKUP(B34,טבלאות!$G:$H,2,0)),"",VLOOKUP(B34,טבלאות!$G:$H,2,0))</f>
        <v/>
      </c>
      <c r="M34" s="51" t="str">
        <f t="shared" si="0"/>
        <v/>
      </c>
    </row>
    <row r="35" spans="1:13">
      <c r="A35" s="108"/>
      <c r="B35" s="108"/>
      <c r="C35" s="108"/>
      <c r="D35" s="109"/>
      <c r="E35" s="108"/>
      <c r="F35" s="108"/>
      <c r="G35" s="108"/>
      <c r="H35" s="108"/>
      <c r="I35" s="109"/>
      <c r="J35" s="106"/>
      <c r="K35" t="str">
        <f>IF(A35&gt;0,VLOOKUP(A35,טבלאות!$J:$K,2,0),"")</f>
        <v/>
      </c>
      <c r="L35" s="50" t="str">
        <f>IF(ISERROR(VLOOKUP(B35,טבלאות!$G:$H,2,0)),"",VLOOKUP(B35,טבלאות!$G:$H,2,0))</f>
        <v/>
      </c>
      <c r="M35" s="51" t="str">
        <f t="shared" si="0"/>
        <v/>
      </c>
    </row>
    <row r="36" spans="1:13">
      <c r="A36" s="108"/>
      <c r="B36" s="108"/>
      <c r="C36" s="108"/>
      <c r="D36" s="109"/>
      <c r="E36" s="108"/>
      <c r="F36" s="108"/>
      <c r="G36" s="108"/>
      <c r="H36" s="108"/>
      <c r="I36" s="109"/>
      <c r="J36" s="106"/>
      <c r="K36" t="str">
        <f>IF(A36&gt;0,VLOOKUP(A36,טבלאות!$J:$K,2,0),"")</f>
        <v/>
      </c>
      <c r="L36" s="50" t="str">
        <f>IF(ISERROR(VLOOKUP(B36,טבלאות!$G:$H,2,0)),"",VLOOKUP(B36,טבלאות!$G:$H,2,0))</f>
        <v/>
      </c>
      <c r="M36" s="51" t="str">
        <f t="shared" si="0"/>
        <v/>
      </c>
    </row>
    <row r="37" spans="1:13">
      <c r="A37" s="108"/>
      <c r="B37" s="108"/>
      <c r="C37" s="108"/>
      <c r="D37" s="109"/>
      <c r="E37" s="108"/>
      <c r="F37" s="108"/>
      <c r="G37" s="108"/>
      <c r="H37" s="108"/>
      <c r="I37" s="109"/>
      <c r="J37" s="106"/>
      <c r="K37" t="str">
        <f>IF(A37&gt;0,VLOOKUP(A37,טבלאות!$J:$K,2,0),"")</f>
        <v/>
      </c>
      <c r="L37" s="50" t="str">
        <f>IF(ISERROR(VLOOKUP(B37,טבלאות!$G:$H,2,0)),"",VLOOKUP(B37,טבלאות!$G:$H,2,0))</f>
        <v/>
      </c>
      <c r="M37" s="51" t="str">
        <f t="shared" si="0"/>
        <v/>
      </c>
    </row>
    <row r="38" spans="1:13">
      <c r="A38" s="108"/>
      <c r="B38" s="108"/>
      <c r="C38" s="108"/>
      <c r="D38" s="109"/>
      <c r="E38" s="108"/>
      <c r="F38" s="108"/>
      <c r="G38" s="108"/>
      <c r="H38" s="108"/>
      <c r="I38" s="109"/>
      <c r="J38" s="106"/>
      <c r="K38" t="str">
        <f>IF(A38&gt;0,VLOOKUP(A38,טבלאות!$J:$K,2,0),"")</f>
        <v/>
      </c>
      <c r="L38" s="50" t="str">
        <f>IF(ISERROR(VLOOKUP(B38,טבלאות!$G:$H,2,0)),"",VLOOKUP(B38,טבלאות!$G:$H,2,0))</f>
        <v/>
      </c>
      <c r="M38" s="51" t="str">
        <f t="shared" si="0"/>
        <v/>
      </c>
    </row>
    <row r="39" spans="1:13">
      <c r="A39" s="108"/>
      <c r="B39" s="108"/>
      <c r="C39" s="108"/>
      <c r="D39" s="109"/>
      <c r="E39" s="108"/>
      <c r="F39" s="108"/>
      <c r="G39" s="108"/>
      <c r="H39" s="108"/>
      <c r="I39" s="109"/>
      <c r="J39" s="106"/>
      <c r="K39" t="str">
        <f>IF(A39&gt;0,VLOOKUP(A39,טבלאות!$J:$K,2,0),"")</f>
        <v/>
      </c>
      <c r="L39" s="50" t="str">
        <f>IF(ISERROR(VLOOKUP(B39,טבלאות!$G:$H,2,0)),"",VLOOKUP(B39,טבלאות!$G:$H,2,0))</f>
        <v/>
      </c>
      <c r="M39" s="51" t="str">
        <f t="shared" si="0"/>
        <v/>
      </c>
    </row>
    <row r="40" spans="1:13">
      <c r="A40" s="108"/>
      <c r="B40" s="108"/>
      <c r="C40" s="108"/>
      <c r="D40" s="109"/>
      <c r="E40" s="108"/>
      <c r="F40" s="108"/>
      <c r="G40" s="108"/>
      <c r="H40" s="108"/>
      <c r="I40" s="109"/>
      <c r="J40" s="106"/>
      <c r="K40" t="str">
        <f>IF(A40&gt;0,VLOOKUP(A40,טבלאות!$J:$K,2,0),"")</f>
        <v/>
      </c>
      <c r="L40" s="50" t="str">
        <f>IF(ISERROR(VLOOKUP(B40,טבלאות!$G:$H,2,0)),"",VLOOKUP(B40,טבלאות!$G:$H,2,0))</f>
        <v/>
      </c>
      <c r="M40" s="51" t="str">
        <f t="shared" si="0"/>
        <v/>
      </c>
    </row>
    <row r="41" spans="1:13">
      <c r="A41" s="108"/>
      <c r="B41" s="108"/>
      <c r="C41" s="108"/>
      <c r="D41" s="109"/>
      <c r="E41" s="108"/>
      <c r="F41" s="108"/>
      <c r="G41" s="108"/>
      <c r="H41" s="108"/>
      <c r="I41" s="109"/>
      <c r="J41" s="106"/>
      <c r="K41" t="str">
        <f>IF(A41&gt;0,VLOOKUP(A41,טבלאות!$J:$K,2,0),"")</f>
        <v/>
      </c>
      <c r="L41" s="50" t="str">
        <f>IF(ISERROR(VLOOKUP(B41,טבלאות!$G:$H,2,0)),"",VLOOKUP(B41,טבלאות!$G:$H,2,0))</f>
        <v/>
      </c>
      <c r="M41" s="51" t="str">
        <f t="shared" si="0"/>
        <v/>
      </c>
    </row>
    <row r="42" spans="1:13">
      <c r="A42" s="108"/>
      <c r="B42" s="108"/>
      <c r="C42" s="108"/>
      <c r="D42" s="109"/>
      <c r="E42" s="108"/>
      <c r="F42" s="108"/>
      <c r="G42" s="108"/>
      <c r="H42" s="108"/>
      <c r="I42" s="109"/>
      <c r="J42" s="106"/>
      <c r="K42" t="str">
        <f>IF(A42&gt;0,VLOOKUP(A42,טבלאות!$J:$K,2,0),"")</f>
        <v/>
      </c>
      <c r="L42" s="50" t="str">
        <f>IF(ISERROR(VLOOKUP(B42,טבלאות!$G:$H,2,0)),"",VLOOKUP(B42,טבלאות!$G:$H,2,0))</f>
        <v/>
      </c>
      <c r="M42" s="51" t="str">
        <f t="shared" si="0"/>
        <v/>
      </c>
    </row>
    <row r="43" spans="1:13">
      <c r="A43" s="108"/>
      <c r="B43" s="108"/>
      <c r="C43" s="108"/>
      <c r="D43" s="109"/>
      <c r="E43" s="108"/>
      <c r="F43" s="108"/>
      <c r="G43" s="108"/>
      <c r="H43" s="108"/>
      <c r="I43" s="109"/>
      <c r="J43" s="106"/>
      <c r="K43" t="str">
        <f>IF(A43&gt;0,VLOOKUP(A43,טבלאות!$J:$K,2,0),"")</f>
        <v/>
      </c>
      <c r="L43" s="50" t="str">
        <f>IF(ISERROR(VLOOKUP(B43,טבלאות!$G:$H,2,0)),"",VLOOKUP(B43,טבלאות!$G:$H,2,0))</f>
        <v/>
      </c>
      <c r="M43" s="51" t="str">
        <f t="shared" si="0"/>
        <v/>
      </c>
    </row>
    <row r="44" spans="1:13">
      <c r="A44" s="108"/>
      <c r="B44" s="108"/>
      <c r="C44" s="108"/>
      <c r="D44" s="109"/>
      <c r="E44" s="108"/>
      <c r="F44" s="108"/>
      <c r="G44" s="108"/>
      <c r="H44" s="108"/>
      <c r="I44" s="109"/>
      <c r="J44" s="106"/>
      <c r="K44" t="str">
        <f>IF(A44&gt;0,VLOOKUP(A44,טבלאות!$J:$K,2,0),"")</f>
        <v/>
      </c>
      <c r="L44" s="50" t="str">
        <f>IF(ISERROR(VLOOKUP(B44,טבלאות!$G:$H,2,0)),"",VLOOKUP(B44,טבלאות!$G:$H,2,0))</f>
        <v/>
      </c>
      <c r="M44" s="51" t="str">
        <f t="shared" si="0"/>
        <v/>
      </c>
    </row>
    <row r="45" spans="1:13">
      <c r="A45" s="108"/>
      <c r="B45" s="108"/>
      <c r="C45" s="108"/>
      <c r="D45" s="109"/>
      <c r="E45" s="108"/>
      <c r="F45" s="108"/>
      <c r="G45" s="108"/>
      <c r="H45" s="108"/>
      <c r="I45" s="109"/>
      <c r="J45" s="106"/>
      <c r="K45" t="str">
        <f>IF(A45&gt;0,VLOOKUP(A45,טבלאות!$J:$K,2,0),"")</f>
        <v/>
      </c>
      <c r="L45" s="50" t="str">
        <f>IF(ISERROR(VLOOKUP(B45,טבלאות!$G:$H,2,0)),"",VLOOKUP(B45,טבלאות!$G:$H,2,0))</f>
        <v/>
      </c>
      <c r="M45" s="51" t="str">
        <f t="shared" si="0"/>
        <v/>
      </c>
    </row>
    <row r="46" spans="1:13">
      <c r="A46" s="108"/>
      <c r="B46" s="108"/>
      <c r="C46" s="108"/>
      <c r="D46" s="109"/>
      <c r="E46" s="108"/>
      <c r="F46" s="108"/>
      <c r="G46" s="108"/>
      <c r="H46" s="108"/>
      <c r="I46" s="109"/>
      <c r="J46" s="105"/>
      <c r="K46" t="str">
        <f>IF(A46&gt;0,VLOOKUP(A46,טבלאות!$J:$K,2,0),"")</f>
        <v/>
      </c>
      <c r="L46" s="50" t="str">
        <f>IF(ISERROR(VLOOKUP(B46,טבלאות!$G:$H,2,0)),"",VLOOKUP(B46,טבלאות!$G:$H,2,0))</f>
        <v/>
      </c>
      <c r="M46" s="51" t="str">
        <f t="shared" si="0"/>
        <v/>
      </c>
    </row>
    <row r="47" spans="1:13">
      <c r="A47" s="108"/>
      <c r="B47" s="108"/>
      <c r="C47" s="108"/>
      <c r="D47" s="109"/>
      <c r="E47" s="108"/>
      <c r="F47" s="108"/>
      <c r="G47" s="108"/>
      <c r="H47" s="108"/>
      <c r="I47" s="109"/>
      <c r="J47" s="106"/>
      <c r="K47" t="str">
        <f>IF(A47&gt;0,VLOOKUP(A47,טבלאות!$J:$K,2,0),"")</f>
        <v/>
      </c>
      <c r="L47" s="50" t="str">
        <f>IF(ISERROR(VLOOKUP(B47,טבלאות!$G:$H,2,0)),"",VLOOKUP(B47,טבלאות!$G:$H,2,0))</f>
        <v/>
      </c>
      <c r="M47" s="51" t="str">
        <f t="shared" si="0"/>
        <v/>
      </c>
    </row>
    <row r="48" spans="1:13">
      <c r="A48" s="108"/>
      <c r="B48" s="108"/>
      <c r="C48" s="108"/>
      <c r="D48" s="109"/>
      <c r="E48" s="108"/>
      <c r="F48" s="108"/>
      <c r="G48" s="108"/>
      <c r="H48" s="108"/>
      <c r="I48" s="109"/>
      <c r="J48" s="106"/>
      <c r="K48" t="str">
        <f>IF(A48&gt;0,VLOOKUP(A48,טבלאות!$J:$K,2,0),"")</f>
        <v/>
      </c>
      <c r="L48" s="50" t="str">
        <f>IF(ISERROR(VLOOKUP(B48,טבלאות!$G:$H,2,0)),"",VLOOKUP(B48,טבלאות!$G:$H,2,0))</f>
        <v/>
      </c>
      <c r="M48" s="51" t="str">
        <f t="shared" si="0"/>
        <v/>
      </c>
    </row>
    <row r="49" spans="1:13">
      <c r="A49" s="108"/>
      <c r="B49" s="108"/>
      <c r="C49" s="108"/>
      <c r="D49" s="109"/>
      <c r="E49" s="108"/>
      <c r="F49" s="108"/>
      <c r="G49" s="108"/>
      <c r="H49" s="108"/>
      <c r="I49" s="109"/>
      <c r="J49" s="106"/>
      <c r="K49" t="str">
        <f>IF(A49&gt;0,VLOOKUP(A49,טבלאות!$J:$K,2,0),"")</f>
        <v/>
      </c>
      <c r="L49" s="50" t="str">
        <f>IF(ISERROR(VLOOKUP(B49,טבלאות!$G:$H,2,0)),"",VLOOKUP(B49,טבלאות!$G:$H,2,0))</f>
        <v/>
      </c>
      <c r="M49" s="51" t="str">
        <f t="shared" si="0"/>
        <v/>
      </c>
    </row>
    <row r="50" spans="1:13">
      <c r="A50" s="108"/>
      <c r="B50" s="108"/>
      <c r="C50" s="108"/>
      <c r="D50" s="109"/>
      <c r="E50" s="108"/>
      <c r="F50" s="108"/>
      <c r="G50" s="108"/>
      <c r="H50" s="108"/>
      <c r="I50" s="109"/>
      <c r="J50" s="106"/>
      <c r="K50" t="str">
        <f>IF(A50&gt;0,VLOOKUP(A50,טבלאות!$J:$K,2,0),"")</f>
        <v/>
      </c>
      <c r="L50" s="50" t="str">
        <f>IF(ISERROR(VLOOKUP(B50,טבלאות!$G:$H,2,0)),"",VLOOKUP(B50,טבלאות!$G:$H,2,0))</f>
        <v/>
      </c>
      <c r="M50" s="51" t="str">
        <f t="shared" si="0"/>
        <v/>
      </c>
    </row>
    <row r="51" spans="1:13">
      <c r="A51" s="108"/>
      <c r="B51" s="108"/>
      <c r="C51" s="108"/>
      <c r="D51" s="109"/>
      <c r="E51" s="108"/>
      <c r="F51" s="108"/>
      <c r="G51" s="108"/>
      <c r="H51" s="108"/>
      <c r="I51" s="109"/>
      <c r="J51" s="106"/>
      <c r="K51" t="str">
        <f>IF(A51&gt;0,VLOOKUP(A51,טבלאות!$J:$K,2,0),"")</f>
        <v/>
      </c>
      <c r="L51" s="50" t="str">
        <f>IF(ISERROR(VLOOKUP(B51,טבלאות!$G:$H,2,0)),"",VLOOKUP(B51,טבלאות!$G:$H,2,0))</f>
        <v/>
      </c>
      <c r="M51" s="51" t="str">
        <f t="shared" si="0"/>
        <v/>
      </c>
    </row>
    <row r="52" spans="1:13">
      <c r="A52" s="108"/>
      <c r="B52" s="108"/>
      <c r="C52" s="108"/>
      <c r="D52" s="109"/>
      <c r="E52" s="108"/>
      <c r="F52" s="108"/>
      <c r="G52" s="108"/>
      <c r="H52" s="108"/>
      <c r="I52" s="109"/>
      <c r="J52" s="106"/>
      <c r="K52" t="str">
        <f>IF(A52&gt;0,VLOOKUP(A52,טבלאות!$J:$K,2,0),"")</f>
        <v/>
      </c>
      <c r="L52" s="50" t="str">
        <f>IF(ISERROR(VLOOKUP(B52,טבלאות!$G:$H,2,0)),"",VLOOKUP(B52,טבלאות!$G:$H,2,0))</f>
        <v/>
      </c>
      <c r="M52" s="51" t="str">
        <f t="shared" si="0"/>
        <v/>
      </c>
    </row>
    <row r="53" spans="1:13">
      <c r="A53" s="108"/>
      <c r="B53" s="108"/>
      <c r="C53" s="108"/>
      <c r="D53" s="109"/>
      <c r="E53" s="108"/>
      <c r="F53" s="108"/>
      <c r="G53" s="108"/>
      <c r="H53" s="108"/>
      <c r="I53" s="109"/>
      <c r="J53" s="106"/>
      <c r="K53" t="str">
        <f>IF(A53&gt;0,VLOOKUP(A53,טבלאות!$J:$K,2,0),"")</f>
        <v/>
      </c>
      <c r="L53" s="50" t="str">
        <f>IF(ISERROR(VLOOKUP(B53,טבלאות!$G:$H,2,0)),"",VLOOKUP(B53,טבלאות!$G:$H,2,0))</f>
        <v/>
      </c>
      <c r="M53" s="51" t="str">
        <f t="shared" si="0"/>
        <v/>
      </c>
    </row>
    <row r="54" spans="1:13">
      <c r="A54" s="108"/>
      <c r="B54" s="108"/>
      <c r="C54" s="108"/>
      <c r="D54" s="109"/>
      <c r="E54" s="108"/>
      <c r="F54" s="108"/>
      <c r="G54" s="108"/>
      <c r="H54" s="108"/>
      <c r="I54" s="109"/>
      <c r="J54" s="106"/>
      <c r="K54" t="str">
        <f>IF(A54&gt;0,VLOOKUP(A54,טבלאות!$J:$K,2,0),"")</f>
        <v/>
      </c>
      <c r="L54" s="50" t="str">
        <f>IF(ISERROR(VLOOKUP(B54,טבלאות!$G:$H,2,0)),"",VLOOKUP(B54,טבלאות!$G:$H,2,0))</f>
        <v/>
      </c>
      <c r="M54" s="51" t="str">
        <f t="shared" si="0"/>
        <v/>
      </c>
    </row>
    <row r="55" spans="1:13">
      <c r="A55" s="108"/>
      <c r="B55" s="108"/>
      <c r="C55" s="108"/>
      <c r="D55" s="109"/>
      <c r="E55" s="108"/>
      <c r="F55" s="108"/>
      <c r="G55" s="108"/>
      <c r="H55" s="108"/>
      <c r="I55" s="109"/>
      <c r="J55" s="106"/>
      <c r="K55" t="str">
        <f>IF(A55&gt;0,VLOOKUP(A55,טבלאות!$J:$K,2,0),"")</f>
        <v/>
      </c>
      <c r="L55" s="50" t="str">
        <f>IF(ISERROR(VLOOKUP(B55,טבלאות!$G:$H,2,0)),"",VLOOKUP(B55,טבלאות!$G:$H,2,0))</f>
        <v/>
      </c>
      <c r="M55" s="51" t="str">
        <f t="shared" si="0"/>
        <v/>
      </c>
    </row>
    <row r="56" spans="1:13">
      <c r="A56" s="108"/>
      <c r="B56" s="108"/>
      <c r="C56" s="108"/>
      <c r="D56" s="109"/>
      <c r="E56" s="108"/>
      <c r="F56" s="108"/>
      <c r="G56" s="108"/>
      <c r="H56" s="108"/>
      <c r="I56" s="109"/>
      <c r="J56" s="106"/>
      <c r="K56" t="str">
        <f>IF(A56&gt;0,VLOOKUP(A56,טבלאות!$J:$K,2,0),"")</f>
        <v/>
      </c>
      <c r="L56" s="50" t="str">
        <f>IF(ISERROR(VLOOKUP(B56,טבלאות!$G:$H,2,0)),"",VLOOKUP(B56,טבלאות!$G:$H,2,0))</f>
        <v/>
      </c>
      <c r="M56" s="51" t="str">
        <f t="shared" si="0"/>
        <v/>
      </c>
    </row>
    <row r="57" spans="1:13">
      <c r="A57" s="108"/>
      <c r="B57" s="108"/>
      <c r="C57" s="108"/>
      <c r="D57" s="110"/>
      <c r="E57" s="108"/>
      <c r="F57" s="108"/>
      <c r="G57" s="108"/>
      <c r="H57" s="108"/>
      <c r="I57" s="109"/>
      <c r="J57" s="106"/>
      <c r="K57" t="str">
        <f>IF(A57&gt;0,VLOOKUP(A57,טבלאות!$J:$K,2,0),"")</f>
        <v/>
      </c>
      <c r="L57" s="50" t="str">
        <f>IF(ISERROR(VLOOKUP(B57,טבלאות!$G:$H,2,0)),"",VLOOKUP(B57,טבלאות!$G:$H,2,0))</f>
        <v/>
      </c>
      <c r="M57" s="51" t="str">
        <f t="shared" si="0"/>
        <v/>
      </c>
    </row>
    <row r="58" spans="1:13">
      <c r="A58" s="108"/>
      <c r="B58" s="108"/>
      <c r="C58" s="108"/>
      <c r="D58" s="109"/>
      <c r="E58" s="108"/>
      <c r="F58" s="108"/>
      <c r="G58" s="108"/>
      <c r="H58" s="108"/>
      <c r="I58" s="109"/>
      <c r="J58" s="106"/>
      <c r="K58" t="str">
        <f>IF(A58&gt;0,VLOOKUP(A58,טבלאות!$J:$K,2,0),"")</f>
        <v/>
      </c>
      <c r="L58" s="50" t="str">
        <f>IF(ISERROR(VLOOKUP(B58,טבלאות!$G:$H,2,0)),"",VLOOKUP(B58,טבלאות!$G:$H,2,0))</f>
        <v/>
      </c>
      <c r="M58" s="51" t="str">
        <f t="shared" si="0"/>
        <v/>
      </c>
    </row>
    <row r="59" spans="1:13">
      <c r="A59" s="108"/>
      <c r="B59" s="108"/>
      <c r="C59" s="108"/>
      <c r="D59" s="109"/>
      <c r="E59" s="108"/>
      <c r="F59" s="108"/>
      <c r="G59" s="108"/>
      <c r="H59" s="108"/>
      <c r="I59" s="109"/>
      <c r="J59" s="106"/>
      <c r="K59" t="str">
        <f>IF(A59&gt;0,VLOOKUP(A59,טבלאות!$J:$K,2,0),"")</f>
        <v/>
      </c>
      <c r="L59" s="50" t="str">
        <f>IF(ISERROR(VLOOKUP(B59,טבלאות!$G:$H,2,0)),"",VLOOKUP(B59,טבלאות!$G:$H,2,0))</f>
        <v/>
      </c>
      <c r="M59" s="51" t="str">
        <f t="shared" si="0"/>
        <v/>
      </c>
    </row>
    <row r="60" spans="1:13">
      <c r="A60" s="108"/>
      <c r="B60" s="108"/>
      <c r="C60" s="108"/>
      <c r="D60" s="109"/>
      <c r="E60" s="108"/>
      <c r="F60" s="108"/>
      <c r="G60" s="108"/>
      <c r="H60" s="108"/>
      <c r="I60" s="109"/>
      <c r="J60" s="106"/>
      <c r="K60" t="str">
        <f>IF(A60&gt;0,VLOOKUP(A60,טבלאות!$J:$K,2,0),"")</f>
        <v/>
      </c>
      <c r="L60" s="50" t="str">
        <f>IF(ISERROR(VLOOKUP(B60,טבלאות!$G:$H,2,0)),"",VLOOKUP(B60,טבלאות!$G:$H,2,0))</f>
        <v/>
      </c>
      <c r="M60" s="51" t="str">
        <f t="shared" si="0"/>
        <v/>
      </c>
    </row>
    <row r="61" spans="1:13">
      <c r="A61" s="108"/>
      <c r="B61" s="108"/>
      <c r="C61" s="108"/>
      <c r="D61" s="109"/>
      <c r="E61" s="108"/>
      <c r="F61" s="108"/>
      <c r="G61" s="108"/>
      <c r="H61" s="108"/>
      <c r="I61" s="109"/>
      <c r="J61" s="106"/>
      <c r="K61" t="str">
        <f>IF(A61&gt;0,VLOOKUP(A61,טבלאות!$J:$K,2,0),"")</f>
        <v/>
      </c>
      <c r="L61" s="50" t="str">
        <f>IF(ISERROR(VLOOKUP(B61,טבלאות!$G:$H,2,0)),"",VLOOKUP(B61,טבלאות!$G:$H,2,0))</f>
        <v/>
      </c>
      <c r="M61" s="51" t="str">
        <f t="shared" si="0"/>
        <v/>
      </c>
    </row>
    <row r="62" spans="1:13">
      <c r="A62" s="108"/>
      <c r="B62" s="108"/>
      <c r="C62" s="108"/>
      <c r="D62" s="109"/>
      <c r="E62" s="108"/>
      <c r="F62" s="108"/>
      <c r="G62" s="108"/>
      <c r="H62" s="108"/>
      <c r="I62" s="109"/>
      <c r="J62" s="106"/>
      <c r="K62" t="str">
        <f>IF(A62&gt;0,VLOOKUP(A62,טבלאות!$J:$K,2,0),"")</f>
        <v/>
      </c>
      <c r="L62" s="50" t="str">
        <f>IF(ISERROR(VLOOKUP(B62,טבלאות!$G:$H,2,0)),"",VLOOKUP(B62,טבלאות!$G:$H,2,0))</f>
        <v/>
      </c>
      <c r="M62" s="51" t="str">
        <f t="shared" si="0"/>
        <v/>
      </c>
    </row>
    <row r="63" spans="1:13">
      <c r="A63" s="108"/>
      <c r="B63" s="108"/>
      <c r="C63" s="108"/>
      <c r="D63" s="109"/>
      <c r="E63" s="108"/>
      <c r="F63" s="108"/>
      <c r="G63" s="108"/>
      <c r="H63" s="108"/>
      <c r="I63" s="109"/>
      <c r="J63" s="106"/>
      <c r="K63" t="str">
        <f>IF(A63&gt;0,VLOOKUP(A63,טבלאות!$J:$K,2,0),"")</f>
        <v/>
      </c>
      <c r="L63" s="50" t="str">
        <f>IF(ISERROR(VLOOKUP(B63,טבלאות!$G:$H,2,0)),"",VLOOKUP(B63,טבלאות!$G:$H,2,0))</f>
        <v/>
      </c>
      <c r="M63" s="51" t="str">
        <f t="shared" si="0"/>
        <v/>
      </c>
    </row>
    <row r="64" spans="1:13">
      <c r="A64" s="108"/>
      <c r="B64" s="108"/>
      <c r="C64" s="108"/>
      <c r="D64" s="109"/>
      <c r="E64" s="108"/>
      <c r="F64" s="108"/>
      <c r="G64" s="108"/>
      <c r="H64" s="108"/>
      <c r="I64" s="109"/>
      <c r="J64" s="106"/>
      <c r="K64" t="str">
        <f>IF(A64&gt;0,VLOOKUP(A64,טבלאות!$J:$K,2,0),"")</f>
        <v/>
      </c>
      <c r="L64" s="50" t="str">
        <f>IF(ISERROR(VLOOKUP(B64,טבלאות!$G:$H,2,0)),"",VLOOKUP(B64,טבלאות!$G:$H,2,0))</f>
        <v/>
      </c>
      <c r="M64" s="51" t="str">
        <f t="shared" si="0"/>
        <v/>
      </c>
    </row>
    <row r="65" spans="1:13">
      <c r="A65" s="108"/>
      <c r="B65" s="108"/>
      <c r="C65" s="108"/>
      <c r="D65" s="109"/>
      <c r="E65" s="108"/>
      <c r="F65" s="108"/>
      <c r="G65" s="108"/>
      <c r="H65" s="108"/>
      <c r="I65" s="109"/>
      <c r="J65" s="106"/>
      <c r="K65" t="str">
        <f>IF(A65&gt;0,VLOOKUP(A65,טבלאות!$J:$K,2,0),"")</f>
        <v/>
      </c>
      <c r="L65" s="50" t="str">
        <f>IF(ISERROR(VLOOKUP(B65,טבלאות!$G:$H,2,0)),"",VLOOKUP(B65,טבלאות!$G:$H,2,0))</f>
        <v/>
      </c>
      <c r="M65" s="51" t="str">
        <f t="shared" si="0"/>
        <v/>
      </c>
    </row>
    <row r="66" spans="1:13">
      <c r="A66" s="108"/>
      <c r="B66" s="108"/>
      <c r="C66" s="108"/>
      <c r="D66" s="109"/>
      <c r="E66" s="108"/>
      <c r="F66" s="108"/>
      <c r="G66" s="108"/>
      <c r="H66" s="108"/>
      <c r="I66" s="109"/>
      <c r="J66" s="106"/>
      <c r="K66" t="str">
        <f>IF(A66&gt;0,VLOOKUP(A66,טבלאות!$J:$K,2,0),"")</f>
        <v/>
      </c>
      <c r="L66" s="50" t="str">
        <f>IF(ISERROR(VLOOKUP(B66,טבלאות!$G:$H,2,0)),"",VLOOKUP(B66,טבלאות!$G:$H,2,0))</f>
        <v/>
      </c>
      <c r="M66" s="51" t="str">
        <f t="shared" ref="M66:M113" si="1">IF(OR(L66="",L66="?"),"",IF(L66&gt;0,I66,""))</f>
        <v/>
      </c>
    </row>
    <row r="67" spans="1:13">
      <c r="A67" s="108"/>
      <c r="B67" s="108"/>
      <c r="C67" s="108"/>
      <c r="D67" s="109"/>
      <c r="E67" s="108"/>
      <c r="F67" s="108"/>
      <c r="G67" s="108"/>
      <c r="H67" s="108"/>
      <c r="I67" s="109"/>
      <c r="J67" s="106"/>
      <c r="K67" t="str">
        <f>IF(A67&gt;0,VLOOKUP(A67,טבלאות!$J:$K,2,0),"")</f>
        <v/>
      </c>
      <c r="L67" s="50" t="str">
        <f>IF(ISERROR(VLOOKUP(B67,טבלאות!$G:$H,2,0)),"",VLOOKUP(B67,טבלאות!$G:$H,2,0))</f>
        <v/>
      </c>
      <c r="M67" s="51" t="str">
        <f t="shared" si="1"/>
        <v/>
      </c>
    </row>
    <row r="68" spans="1:13">
      <c r="A68" s="108"/>
      <c r="B68" s="108"/>
      <c r="C68" s="108"/>
      <c r="D68" s="110"/>
      <c r="E68" s="108"/>
      <c r="F68" s="108"/>
      <c r="G68" s="108"/>
      <c r="H68" s="108"/>
      <c r="I68" s="109"/>
      <c r="J68" s="106"/>
      <c r="K68" t="str">
        <f>IF(A68&gt;0,VLOOKUP(A68,טבלאות!$J:$K,2,0),"")</f>
        <v/>
      </c>
      <c r="L68" s="50" t="str">
        <f>IF(ISERROR(VLOOKUP(B68,טבלאות!$G:$H,2,0)),"",VLOOKUP(B68,טבלאות!$G:$H,2,0))</f>
        <v/>
      </c>
      <c r="M68" s="51" t="str">
        <f t="shared" si="1"/>
        <v/>
      </c>
    </row>
    <row r="69" spans="1:13">
      <c r="A69" s="108"/>
      <c r="B69" s="108"/>
      <c r="C69" s="108"/>
      <c r="D69" s="109"/>
      <c r="E69" s="108"/>
      <c r="F69" s="108"/>
      <c r="G69" s="108"/>
      <c r="H69" s="108"/>
      <c r="I69" s="109"/>
      <c r="J69" s="106"/>
      <c r="K69" t="str">
        <f>IF(A69&gt;0,VLOOKUP(A69,טבלאות!$J:$K,2,0),"")</f>
        <v/>
      </c>
      <c r="L69" s="50" t="str">
        <f>IF(ISERROR(VLOOKUP(B69,טבלאות!$G:$H,2,0)),"",VLOOKUP(B69,טבלאות!$G:$H,2,0))</f>
        <v/>
      </c>
      <c r="M69" s="51" t="str">
        <f t="shared" si="1"/>
        <v/>
      </c>
    </row>
    <row r="70" spans="1:13">
      <c r="A70" s="108"/>
      <c r="B70" s="108"/>
      <c r="C70" s="108"/>
      <c r="D70" s="109"/>
      <c r="E70" s="108"/>
      <c r="F70" s="108"/>
      <c r="G70" s="108"/>
      <c r="H70" s="108"/>
      <c r="I70" s="109"/>
      <c r="J70" s="106"/>
      <c r="K70" t="str">
        <f>IF(A70&gt;0,VLOOKUP(A70,טבלאות!$J:$K,2,0),"")</f>
        <v/>
      </c>
      <c r="L70" s="50" t="str">
        <f>IF(ISERROR(VLOOKUP(B70,טבלאות!$G:$H,2,0)),"",VLOOKUP(B70,טבלאות!$G:$H,2,0))</f>
        <v/>
      </c>
      <c r="M70" s="51" t="str">
        <f t="shared" si="1"/>
        <v/>
      </c>
    </row>
    <row r="71" spans="1:13">
      <c r="A71" s="108"/>
      <c r="B71" s="108"/>
      <c r="C71" s="108"/>
      <c r="D71" s="109"/>
      <c r="E71" s="108"/>
      <c r="F71" s="108"/>
      <c r="G71" s="108"/>
      <c r="H71" s="108"/>
      <c r="I71" s="109"/>
      <c r="K71" t="str">
        <f>IF(A71&gt;0,VLOOKUP(A71,טבלאות!$J:$K,2,0),"")</f>
        <v/>
      </c>
      <c r="L71" s="50" t="str">
        <f>IF(ISERROR(VLOOKUP(B71,טבלאות!$G:$H,2,0)),"",VLOOKUP(B71,טבלאות!$G:$H,2,0))</f>
        <v/>
      </c>
      <c r="M71" s="51" t="str">
        <f t="shared" si="1"/>
        <v/>
      </c>
    </row>
    <row r="72" spans="1:13">
      <c r="A72" s="108"/>
      <c r="B72" s="108"/>
      <c r="C72" s="108"/>
      <c r="D72" s="109"/>
      <c r="E72" s="108"/>
      <c r="F72" s="108"/>
      <c r="G72" s="108"/>
      <c r="H72" s="108"/>
      <c r="I72" s="109"/>
      <c r="K72" t="str">
        <f>IF(A72&gt;0,VLOOKUP(A72,טבלאות!$J:$K,2,0),"")</f>
        <v/>
      </c>
      <c r="L72" s="50" t="str">
        <f>IF(ISERROR(VLOOKUP(B72,טבלאות!$G:$H,2,0)),"",VLOOKUP(B72,טבלאות!$G:$H,2,0))</f>
        <v/>
      </c>
      <c r="M72" s="51" t="str">
        <f t="shared" si="1"/>
        <v/>
      </c>
    </row>
    <row r="73" spans="1:13">
      <c r="A73" s="108"/>
      <c r="B73" s="108"/>
      <c r="C73" s="108"/>
      <c r="D73" s="109"/>
      <c r="E73" s="108"/>
      <c r="F73" s="108"/>
      <c r="G73" s="108"/>
      <c r="H73" s="108"/>
      <c r="I73" s="109"/>
      <c r="K73" t="str">
        <f>IF(A73&gt;0,VLOOKUP(A73,טבלאות!$J:$K,2,0),"")</f>
        <v/>
      </c>
      <c r="L73" s="50" t="str">
        <f>IF(ISERROR(VLOOKUP(B73,טבלאות!$G:$H,2,0)),"",VLOOKUP(B73,טבלאות!$G:$H,2,0))</f>
        <v/>
      </c>
      <c r="M73" s="51" t="str">
        <f t="shared" si="1"/>
        <v/>
      </c>
    </row>
    <row r="74" spans="1:13">
      <c r="A74" s="108"/>
      <c r="B74" s="108"/>
      <c r="C74" s="108"/>
      <c r="D74" s="109"/>
      <c r="E74" s="108"/>
      <c r="F74" s="108"/>
      <c r="G74" s="108"/>
      <c r="H74" s="108"/>
      <c r="I74" s="109"/>
      <c r="K74" t="str">
        <f>IF(A74&gt;0,VLOOKUP(A74,טבלאות!$J:$K,2,0),"")</f>
        <v/>
      </c>
      <c r="L74" s="50" t="str">
        <f>IF(ISERROR(VLOOKUP(B74,טבלאות!$G:$H,2,0)),"",VLOOKUP(B74,טבלאות!$G:$H,2,0))</f>
        <v/>
      </c>
      <c r="M74" s="51" t="str">
        <f t="shared" si="1"/>
        <v/>
      </c>
    </row>
    <row r="75" spans="1:13">
      <c r="A75" s="108"/>
      <c r="B75" s="108"/>
      <c r="C75" s="108"/>
      <c r="D75" s="109"/>
      <c r="E75" s="108"/>
      <c r="F75" s="108"/>
      <c r="G75" s="108"/>
      <c r="H75" s="108"/>
      <c r="I75" s="109"/>
      <c r="K75" t="str">
        <f>IF(A75&gt;0,VLOOKUP(A75,טבלאות!$J:$K,2,0),"")</f>
        <v/>
      </c>
      <c r="L75" s="50" t="str">
        <f>IF(ISERROR(VLOOKUP(B75,טבלאות!$G:$H,2,0)),"",VLOOKUP(B75,טבלאות!$G:$H,2,0))</f>
        <v/>
      </c>
      <c r="M75" s="51" t="str">
        <f t="shared" si="1"/>
        <v/>
      </c>
    </row>
    <row r="76" spans="1:13">
      <c r="A76" s="108"/>
      <c r="B76" s="108"/>
      <c r="C76" s="108"/>
      <c r="D76" s="109"/>
      <c r="E76" s="108"/>
      <c r="F76" s="108"/>
      <c r="G76" s="108"/>
      <c r="H76" s="108"/>
      <c r="I76" s="109"/>
      <c r="K76" t="str">
        <f>IF(A76&gt;0,VLOOKUP(A76,טבלאות!$J:$K,2,0),"")</f>
        <v/>
      </c>
      <c r="L76" s="50" t="str">
        <f>IF(ISERROR(VLOOKUP(B76,טבלאות!$G:$H,2,0)),"",VLOOKUP(B76,טבלאות!$G:$H,2,0))</f>
        <v/>
      </c>
      <c r="M76" s="51" t="str">
        <f t="shared" si="1"/>
        <v/>
      </c>
    </row>
    <row r="77" spans="1:13">
      <c r="A77" s="108"/>
      <c r="B77" s="108"/>
      <c r="C77" s="108"/>
      <c r="D77" s="109"/>
      <c r="E77" s="108"/>
      <c r="F77" s="108"/>
      <c r="G77" s="108"/>
      <c r="H77" s="108"/>
      <c r="I77" s="109"/>
      <c r="K77" t="str">
        <f>IF(A77&gt;0,VLOOKUP(A77,טבלאות!$J:$K,2,0),"")</f>
        <v/>
      </c>
      <c r="L77" s="50" t="str">
        <f>IF(ISERROR(VLOOKUP(B77,טבלאות!$G:$H,2,0)),"",VLOOKUP(B77,טבלאות!$G:$H,2,0))</f>
        <v/>
      </c>
      <c r="M77" s="51" t="str">
        <f t="shared" si="1"/>
        <v/>
      </c>
    </row>
    <row r="78" spans="1:13">
      <c r="B78" s="108"/>
      <c r="C78" s="111"/>
      <c r="D78" s="109"/>
      <c r="E78" s="108"/>
      <c r="F78" s="108"/>
      <c r="G78" s="108"/>
      <c r="H78" s="108"/>
      <c r="I78" s="109"/>
      <c r="K78" t="str">
        <f>IF(A78&gt;0,VLOOKUP(A78,טבלאות!$J:$K,2,0),"")</f>
        <v/>
      </c>
      <c r="L78" s="50" t="str">
        <f>IF(ISERROR(VLOOKUP(B78,טבלאות!$G:$H,2,0)),"",VLOOKUP(B78,טבלאות!$G:$H,2,0))</f>
        <v/>
      </c>
      <c r="M78" s="51" t="str">
        <f t="shared" si="1"/>
        <v/>
      </c>
    </row>
    <row r="79" spans="1:13">
      <c r="B79" s="108"/>
      <c r="C79" s="111"/>
      <c r="D79" s="109"/>
      <c r="E79" s="108"/>
      <c r="F79" s="108"/>
      <c r="G79" s="108"/>
      <c r="H79" s="108"/>
      <c r="I79" s="109"/>
      <c r="K79" t="str">
        <f>IF(A79&gt;0,VLOOKUP(A79,טבלאות!$J:$K,2,0),"")</f>
        <v/>
      </c>
      <c r="L79" s="50" t="str">
        <f>IF(ISERROR(VLOOKUP(B79,טבלאות!$G:$H,2,0)),"",VLOOKUP(B79,טבלאות!$G:$H,2,0))</f>
        <v/>
      </c>
      <c r="M79" s="51" t="str">
        <f t="shared" si="1"/>
        <v/>
      </c>
    </row>
    <row r="80" spans="1:13">
      <c r="B80" s="108"/>
      <c r="C80" s="111"/>
      <c r="D80" s="109"/>
      <c r="E80" s="108"/>
      <c r="F80" s="108"/>
      <c r="G80" s="108"/>
      <c r="H80" s="108"/>
      <c r="I80" s="109"/>
      <c r="K80" t="str">
        <f>IF(A80&gt;0,VLOOKUP(A80,טבלאות!$J:$K,2,0),"")</f>
        <v/>
      </c>
      <c r="L80" s="50" t="str">
        <f>IF(ISERROR(VLOOKUP(B80,טבלאות!$G:$H,2,0)),"",VLOOKUP(B80,טבלאות!$G:$H,2,0))</f>
        <v/>
      </c>
      <c r="M80" s="51" t="str">
        <f t="shared" si="1"/>
        <v/>
      </c>
    </row>
    <row r="81" spans="2:13">
      <c r="B81" s="108"/>
      <c r="C81" s="111"/>
      <c r="D81" s="109"/>
      <c r="E81" s="108"/>
      <c r="F81" s="108"/>
      <c r="G81" s="108"/>
      <c r="H81" s="108"/>
      <c r="I81" s="109"/>
      <c r="K81" t="str">
        <f>IF(A81&gt;0,VLOOKUP(A81,טבלאות!$J:$K,2,0),"")</f>
        <v/>
      </c>
      <c r="L81" s="50" t="str">
        <f>IF(ISERROR(VLOOKUP(B81,טבלאות!$G:$H,2,0)),"",VLOOKUP(B81,טבלאות!$G:$H,2,0))</f>
        <v/>
      </c>
      <c r="M81" s="51" t="str">
        <f t="shared" si="1"/>
        <v/>
      </c>
    </row>
    <row r="82" spans="2:13">
      <c r="B82" s="108"/>
      <c r="C82" s="111"/>
      <c r="D82" s="109"/>
      <c r="E82" s="108"/>
      <c r="F82" s="108"/>
      <c r="G82" s="108"/>
      <c r="H82" s="108"/>
      <c r="I82" s="109"/>
      <c r="K82" t="str">
        <f>IF(A82&gt;0,VLOOKUP(A82,טבלאות!$J:$K,2,0),"")</f>
        <v/>
      </c>
      <c r="L82" s="50" t="str">
        <f>IF(ISERROR(VLOOKUP(B82,טבלאות!$G:$H,2,0)),"",VLOOKUP(B82,טבלאות!$G:$H,2,0))</f>
        <v/>
      </c>
      <c r="M82" s="51" t="str">
        <f t="shared" si="1"/>
        <v/>
      </c>
    </row>
    <row r="83" spans="2:13">
      <c r="B83" s="108"/>
      <c r="C83" s="111"/>
      <c r="D83" s="109"/>
      <c r="E83" s="108"/>
      <c r="F83" s="108"/>
      <c r="G83" s="108"/>
      <c r="H83" s="108"/>
      <c r="I83" s="109"/>
      <c r="K83" t="str">
        <f>IF(A83&gt;0,VLOOKUP(A83,טבלאות!$J:$K,2,0),"")</f>
        <v/>
      </c>
      <c r="L83" s="50" t="str">
        <f>IF(ISERROR(VLOOKUP(B83,טבלאות!$G:$H,2,0)),"",VLOOKUP(B83,טבלאות!$G:$H,2,0))</f>
        <v/>
      </c>
      <c r="M83" s="51" t="str">
        <f t="shared" si="1"/>
        <v/>
      </c>
    </row>
    <row r="84" spans="2:13">
      <c r="B84" s="108"/>
      <c r="C84" s="111"/>
      <c r="D84" s="109"/>
      <c r="E84" s="108"/>
      <c r="F84" s="108"/>
      <c r="G84" s="108"/>
      <c r="H84" s="108"/>
      <c r="I84" s="109"/>
      <c r="K84" t="str">
        <f>IF(A84&gt;0,VLOOKUP(A84,טבלאות!$J:$K,2,0),"")</f>
        <v/>
      </c>
      <c r="L84" s="50" t="str">
        <f>IF(ISERROR(VLOOKUP(B84,טבלאות!$G:$H,2,0)),"",VLOOKUP(B84,טבלאות!$G:$H,2,0))</f>
        <v/>
      </c>
      <c r="M84" s="51" t="str">
        <f t="shared" si="1"/>
        <v/>
      </c>
    </row>
    <row r="85" spans="2:13">
      <c r="B85" s="108"/>
      <c r="C85" s="111"/>
      <c r="D85" s="109"/>
      <c r="E85" s="108"/>
      <c r="F85" s="108"/>
      <c r="G85" s="108"/>
      <c r="H85" s="108"/>
      <c r="I85" s="109"/>
      <c r="J85" s="102"/>
      <c r="K85" t="str">
        <f>IF(A85&gt;0,VLOOKUP(A85,טבלאות!$J:$K,2,0),"")</f>
        <v/>
      </c>
      <c r="L85" s="50" t="str">
        <f>IF(ISERROR(VLOOKUP(B85,טבלאות!$G:$H,2,0)),"",VLOOKUP(B85,טבלאות!$G:$H,2,0))</f>
        <v/>
      </c>
      <c r="M85" s="51" t="str">
        <f t="shared" si="1"/>
        <v/>
      </c>
    </row>
    <row r="86" spans="2:13">
      <c r="B86" s="108"/>
      <c r="C86" s="111"/>
      <c r="D86" s="109"/>
      <c r="E86" s="108"/>
      <c r="F86" s="108"/>
      <c r="G86" s="108"/>
      <c r="H86" s="108"/>
      <c r="I86" s="109"/>
      <c r="J86" s="102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 t="shared" si="1"/>
        <v/>
      </c>
    </row>
    <row r="87" spans="2:13">
      <c r="B87" s="108"/>
      <c r="C87" s="111"/>
      <c r="D87" s="109"/>
      <c r="E87" s="108"/>
      <c r="F87" s="108"/>
      <c r="G87" s="108"/>
      <c r="H87" s="108"/>
      <c r="I87" s="109"/>
      <c r="J87" s="102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1"/>
        <v/>
      </c>
    </row>
    <row r="88" spans="2:13">
      <c r="B88" s="108"/>
      <c r="C88" s="111"/>
      <c r="D88" s="109"/>
      <c r="E88" s="108"/>
      <c r="F88" s="108"/>
      <c r="G88" s="108"/>
      <c r="H88" s="108"/>
      <c r="I88" s="109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1"/>
        <v/>
      </c>
    </row>
    <row r="89" spans="2:13">
      <c r="C89" s="55"/>
      <c r="D89" s="77"/>
      <c r="E89" s="96"/>
      <c r="F89" s="96"/>
      <c r="H89" s="96"/>
      <c r="I89" s="77"/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1"/>
        <v/>
      </c>
    </row>
    <row r="90" spans="2:13">
      <c r="C90" s="55"/>
      <c r="D90" s="77"/>
      <c r="E90" s="96"/>
      <c r="F90" s="96"/>
      <c r="H90" s="96"/>
      <c r="I90" s="77"/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1"/>
        <v/>
      </c>
    </row>
    <row r="91" spans="2:13">
      <c r="C91" s="55"/>
      <c r="D91" s="77"/>
      <c r="E91" s="96"/>
      <c r="F91" s="96"/>
      <c r="H91" s="96"/>
      <c r="I91" s="77"/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1"/>
        <v/>
      </c>
    </row>
    <row r="92" spans="2:13">
      <c r="C92" s="55"/>
      <c r="D92" s="77"/>
      <c r="E92" s="96"/>
      <c r="F92" s="96"/>
      <c r="H92" s="96"/>
      <c r="I92" s="77"/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1"/>
        <v/>
      </c>
    </row>
    <row r="93" spans="2:13">
      <c r="C93" s="55"/>
      <c r="D93" s="77"/>
      <c r="E93" s="96"/>
      <c r="F93" s="96"/>
      <c r="H93" s="96"/>
      <c r="I93" s="77"/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1"/>
        <v/>
      </c>
    </row>
    <row r="94" spans="2:13">
      <c r="C94" s="55"/>
      <c r="D94" s="77"/>
      <c r="E94" s="96"/>
      <c r="F94" s="96"/>
      <c r="H94" s="96"/>
      <c r="I94" s="77"/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1"/>
        <v/>
      </c>
    </row>
    <row r="95" spans="2:13">
      <c r="C95" s="55"/>
      <c r="D95" s="77"/>
      <c r="E95" s="96"/>
      <c r="F95" s="96"/>
      <c r="H95" s="96"/>
      <c r="I95" s="77"/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1"/>
        <v/>
      </c>
    </row>
    <row r="96" spans="2:13">
      <c r="C96" s="55"/>
      <c r="D96" s="77"/>
      <c r="E96" s="96"/>
      <c r="F96" s="96"/>
      <c r="H96" s="96"/>
      <c r="I96" s="77"/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1"/>
        <v/>
      </c>
    </row>
    <row r="97" spans="3:13">
      <c r="C97" s="55"/>
      <c r="D97" s="77"/>
      <c r="E97" s="96"/>
      <c r="F97" s="96"/>
      <c r="H97" s="96"/>
      <c r="I97" s="77"/>
      <c r="L97" s="50" t="str">
        <f>IF(ISERROR(VLOOKUP(B97,טבלאות!$G:$H,2,0)),"",VLOOKUP(B97,טבלאות!$G:$H,2,0))</f>
        <v/>
      </c>
      <c r="M97" s="51" t="str">
        <f t="shared" si="1"/>
        <v/>
      </c>
    </row>
    <row r="98" spans="3:13">
      <c r="C98" s="55"/>
      <c r="D98" s="77"/>
      <c r="E98" s="96"/>
      <c r="F98" s="96"/>
      <c r="H98" s="96"/>
      <c r="I98" s="77"/>
      <c r="L98" s="50" t="str">
        <f>IF(ISERROR(VLOOKUP(B98,טבלאות!$G:$H,2,0)),"",VLOOKUP(B98,טבלאות!$G:$H,2,0))</f>
        <v/>
      </c>
      <c r="M98" s="51" t="str">
        <f t="shared" si="1"/>
        <v/>
      </c>
    </row>
    <row r="99" spans="3:13">
      <c r="C99" s="55"/>
      <c r="D99" s="77"/>
      <c r="E99" s="96"/>
      <c r="F99" s="96"/>
      <c r="H99" s="96"/>
      <c r="I99" s="77"/>
      <c r="L99" s="50" t="str">
        <f>IF(ISERROR(VLOOKUP(B99,טבלאות!$G:$H,2,0)),"",VLOOKUP(B99,טבלאות!$G:$H,2,0))</f>
        <v/>
      </c>
      <c r="M99" s="51" t="str">
        <f t="shared" si="1"/>
        <v/>
      </c>
    </row>
    <row r="100" spans="3:13">
      <c r="L100" s="50" t="str">
        <f>IF(ISERROR(VLOOKUP(B100,טבלאות!$G:$H,2,0)),"",VLOOKUP(B100,טבלאות!$G:$H,2,0))</f>
        <v/>
      </c>
      <c r="M100" s="51" t="str">
        <f t="shared" si="1"/>
        <v/>
      </c>
    </row>
    <row r="101" spans="3:13">
      <c r="L101" s="50" t="str">
        <f>IF(ISERROR(VLOOKUP(B101,טבלאות!$G:$H,2,0)),"",VLOOKUP(B101,טבלאות!$G:$H,2,0))</f>
        <v/>
      </c>
      <c r="M101" s="51" t="str">
        <f t="shared" si="1"/>
        <v/>
      </c>
    </row>
    <row r="102" spans="3:13">
      <c r="L102" s="50" t="str">
        <f>IF(ISERROR(VLOOKUP(B102,טבלאות!$G:$H,2,0)),"",VLOOKUP(B102,טבלאות!$G:$H,2,0))</f>
        <v/>
      </c>
      <c r="M102" s="51" t="str">
        <f t="shared" si="1"/>
        <v/>
      </c>
    </row>
    <row r="103" spans="3:13">
      <c r="L103" s="50" t="str">
        <f>IF(ISERROR(VLOOKUP(B103,טבלאות!$G:$H,2,0)),"",VLOOKUP(B103,טבלאות!$G:$H,2,0))</f>
        <v/>
      </c>
      <c r="M103" s="51" t="str">
        <f t="shared" si="1"/>
        <v/>
      </c>
    </row>
    <row r="104" spans="3:13"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3:13">
      <c r="L105" s="50" t="str">
        <f>IF(ISERROR(VLOOKUP(B105,טבלאות!$G:$H,2,0)),"",VLOOKUP(B105,טבלאות!$G:$H,2,0))</f>
        <v/>
      </c>
      <c r="M105" s="51" t="str">
        <f t="shared" si="1"/>
        <v/>
      </c>
    </row>
    <row r="106" spans="3:13">
      <c r="L106" s="50" t="str">
        <f>IF(ISERROR(VLOOKUP(B106,טבלאות!$G:$H,2,0)),"",VLOOKUP(B106,טבלאות!$G:$H,2,0))</f>
        <v/>
      </c>
      <c r="M106" s="51" t="str">
        <f t="shared" si="1"/>
        <v/>
      </c>
    </row>
    <row r="107" spans="3:13">
      <c r="L107" s="50" t="str">
        <f>IF(ISERROR(VLOOKUP(B107,טבלאות!$G:$H,2,0)),"",VLOOKUP(B107,טבלאות!$G:$H,2,0))</f>
        <v/>
      </c>
      <c r="M107" s="51" t="str">
        <f t="shared" si="1"/>
        <v/>
      </c>
    </row>
    <row r="108" spans="3:13">
      <c r="L108" s="50" t="str">
        <f>IF(ISERROR(VLOOKUP(B108,טבלאות!$G:$H,2,0)),"",VLOOKUP(B108,טבלאות!$G:$H,2,0))</f>
        <v/>
      </c>
      <c r="M108" s="51" t="str">
        <f t="shared" si="1"/>
        <v/>
      </c>
    </row>
    <row r="109" spans="3:13"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3:13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3:13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3:13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>
      <c r="L113" s="50" t="str">
        <f>IF(ISERROR(VLOOKUP(B113,טבלאות!$G:$H,2,0)),"",VLOOKUP(B113,טבלאות!$G:$H,2,0))</f>
        <v/>
      </c>
      <c r="M113" s="51" t="str">
        <f t="shared" si="1"/>
        <v/>
      </c>
    </row>
  </sheetData>
  <autoFilter ref="A1:N99" xr:uid="{44C4D7C9-6DAB-48D2-B65D-8646C38D67A3}"/>
  <conditionalFormatting sqref="L2:L113">
    <cfRule type="cellIs" dxfId="1" priority="1" operator="equal">
      <formula>""</formula>
    </cfRule>
  </conditionalFormatting>
  <dataValidations count="2">
    <dataValidation type="list" allowBlank="1" showInputMessage="1" showErrorMessage="1" sqref="L2:L113" xr:uid="{57C065E1-CF52-42B5-B643-EAA199D85527}">
      <formula1>סוגי_הוצאות</formula1>
    </dataValidation>
    <dataValidation type="list" allowBlank="1" showInputMessage="1" showErrorMessage="1" sqref="K2:K113" xr:uid="{3B6BF0E5-9106-483A-89FC-5093A9D6A56D}">
      <formula1>סוג_כרטיס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G113"/>
  <sheetViews>
    <sheetView rightToLeft="1" workbookViewId="0">
      <pane xSplit="3" ySplit="1" topLeftCell="D77" activePane="bottomRight" state="frozen"/>
      <selection pane="topRight" activeCell="D1" sqref="D1"/>
      <selection pane="bottomLeft" activeCell="A2" sqref="A2"/>
      <selection pane="bottomRight" activeCell="A2" sqref="A2:I88"/>
    </sheetView>
  </sheetViews>
  <sheetFormatPr defaultRowHeight="15"/>
  <cols>
    <col min="1" max="1" width="16.42578125" customWidth="1"/>
    <col min="2" max="2" width="23.7109375" bestFit="1" customWidth="1"/>
    <col min="3" max="3" width="16.140625" customWidth="1"/>
    <col min="4" max="4" width="16.85546875" customWidth="1"/>
    <col min="5" max="5" width="17" customWidth="1"/>
    <col min="6" max="6" width="15.7109375" customWidth="1"/>
    <col min="7" max="8" width="17.42578125" customWidth="1"/>
    <col min="9" max="9" width="14.85546875" bestFit="1" customWidth="1"/>
    <col min="11" max="11" width="12.140625" style="73" customWidth="1"/>
    <col min="12" max="12" width="17" style="73" bestFit="1" customWidth="1"/>
    <col min="13" max="13" width="9.140625" style="73"/>
  </cols>
  <sheetData>
    <row r="1" spans="1:111" ht="26.25" customHeight="1">
      <c r="A1" s="48" t="s">
        <v>0</v>
      </c>
      <c r="B1" s="48" t="s">
        <v>123</v>
      </c>
      <c r="C1" s="48" t="s">
        <v>107</v>
      </c>
      <c r="D1" s="48" t="s">
        <v>1</v>
      </c>
      <c r="E1" s="48" t="s">
        <v>603</v>
      </c>
      <c r="F1" s="48" t="s">
        <v>3</v>
      </c>
      <c r="G1" s="48" t="s">
        <v>4</v>
      </c>
      <c r="H1" s="48" t="s">
        <v>2</v>
      </c>
      <c r="I1" s="48" t="s">
        <v>604</v>
      </c>
      <c r="J1" s="48" t="s">
        <v>618</v>
      </c>
      <c r="K1" s="71" t="s">
        <v>617</v>
      </c>
      <c r="L1" s="71" t="s">
        <v>37</v>
      </c>
      <c r="M1" s="71" t="s">
        <v>38</v>
      </c>
      <c r="N1" s="49" t="s">
        <v>613</v>
      </c>
    </row>
    <row r="2" spans="1:111">
      <c r="A2" s="105"/>
      <c r="B2" s="105"/>
      <c r="C2" s="105"/>
      <c r="D2" s="106"/>
      <c r="E2" s="105"/>
      <c r="F2" s="105"/>
      <c r="G2" s="105"/>
      <c r="H2" s="105"/>
      <c r="I2" s="106"/>
      <c r="J2" s="102"/>
      <c r="K2" t="str">
        <f>IF(A2&gt;0,VLOOKUP(A2,טבלאות!$J:$K,2,0),"")</f>
        <v/>
      </c>
      <c r="L2" s="50" t="str">
        <f>IF(ISERROR(VLOOKUP(B2,טבלאות!$G:$H,2,0)),"",VLOOKUP(B2,טבלאות!$G:$H,2,0))</f>
        <v/>
      </c>
      <c r="M2" s="51" t="str">
        <f t="shared" ref="M2:M65" si="0">IF(OR(L2="",L2="?"),"",IF(L2&gt;0,I2,""))</f>
        <v/>
      </c>
    </row>
    <row r="3" spans="1:111" s="36" customFormat="1" ht="19.5" customHeight="1">
      <c r="A3" s="105"/>
      <c r="B3" s="105"/>
      <c r="C3" s="105"/>
      <c r="D3" s="106"/>
      <c r="E3" s="105"/>
      <c r="F3" s="105"/>
      <c r="G3" s="105"/>
      <c r="H3" s="105"/>
      <c r="I3" s="106"/>
      <c r="J3" s="102"/>
      <c r="K3" t="str">
        <f>IF(A3&gt;0,VLOOKUP(A3,טבלאות!$J:$K,2,0),"")</f>
        <v/>
      </c>
      <c r="L3" s="50" t="str">
        <f>IF(ISERROR(VLOOKUP(B3,טבלאות!$G:$H,2,0)),"",VLOOKUP(B3,טבלאות!$G:$H,2,0))</f>
        <v/>
      </c>
      <c r="M3" s="51" t="str">
        <f t="shared" si="0"/>
        <v/>
      </c>
    </row>
    <row r="4" spans="1:111" ht="15" customHeight="1">
      <c r="A4" s="105"/>
      <c r="B4" s="105"/>
      <c r="C4" s="105"/>
      <c r="D4" s="106"/>
      <c r="E4" s="105"/>
      <c r="F4" s="105"/>
      <c r="G4" s="105"/>
      <c r="H4" s="105"/>
      <c r="I4" s="106"/>
      <c r="J4" s="102"/>
      <c r="K4" t="str">
        <f>IF(A4&gt;0,VLOOKUP(A4,טבלאות!$J:$K,2,0),"")</f>
        <v/>
      </c>
      <c r="L4" s="50" t="str">
        <f>IF(ISERROR(VLOOKUP(B4,טבלאות!$G:$H,2,0)),"",VLOOKUP(B4,טבלאות!$G:$H,2,0))</f>
        <v/>
      </c>
      <c r="M4" s="51" t="str">
        <f t="shared" si="0"/>
        <v/>
      </c>
    </row>
    <row r="5" spans="1:111" ht="15" customHeight="1">
      <c r="A5" s="105"/>
      <c r="B5" s="105"/>
      <c r="C5" s="105"/>
      <c r="D5" s="106"/>
      <c r="E5" s="105"/>
      <c r="F5" s="105"/>
      <c r="G5" s="105"/>
      <c r="H5" s="105"/>
      <c r="I5" s="106"/>
      <c r="J5" s="102"/>
      <c r="K5" t="str">
        <f>IF(A5&gt;0,VLOOKUP(A5,טבלאות!$J:$K,2,0),"")</f>
        <v/>
      </c>
      <c r="L5" s="50" t="str">
        <f>IF(ISERROR(VLOOKUP(B5,טבלאות!$G:$H,2,0)),"",VLOOKUP(B5,טבלאות!$G:$H,2,0))</f>
        <v/>
      </c>
      <c r="M5" s="51" t="str">
        <f t="shared" si="0"/>
        <v/>
      </c>
    </row>
    <row r="6" spans="1:111" ht="20.25" customHeight="1">
      <c r="A6" s="105"/>
      <c r="B6" s="105"/>
      <c r="C6" s="105"/>
      <c r="D6" s="106"/>
      <c r="E6" s="105"/>
      <c r="F6" s="105"/>
      <c r="G6" s="105"/>
      <c r="H6" s="105"/>
      <c r="I6" s="106"/>
      <c r="J6" s="102"/>
      <c r="K6" t="str">
        <f>IF(A6&gt;0,VLOOKUP(A6,טבלאות!$J:$K,2,0),"")</f>
        <v/>
      </c>
      <c r="L6" s="50" t="str">
        <f>IF(ISERROR(VLOOKUP(B6,טבלאות!$G:$H,2,0)),"",VLOOKUP(B6,טבלאות!$G:$H,2,0))</f>
        <v/>
      </c>
      <c r="M6" s="51" t="str">
        <f t="shared" si="0"/>
        <v/>
      </c>
    </row>
    <row r="7" spans="1:111" ht="15.75" customHeight="1">
      <c r="A7" s="105"/>
      <c r="B7" s="105"/>
      <c r="C7" s="105"/>
      <c r="D7" s="106"/>
      <c r="E7" s="105"/>
      <c r="F7" s="105"/>
      <c r="G7" s="105"/>
      <c r="H7" s="105"/>
      <c r="I7" s="106"/>
      <c r="J7" s="102"/>
      <c r="K7" t="str">
        <f>IF(A7&gt;0,VLOOKUP(A7,טבלאות!$J:$K,2,0),"")</f>
        <v/>
      </c>
      <c r="L7" s="50" t="str">
        <f>IF(ISERROR(VLOOKUP(B7,טבלאות!$G:$H,2,0)),"",VLOOKUP(B7,טבלאות!$G:$H,2,0))</f>
        <v/>
      </c>
      <c r="M7" s="51" t="str">
        <f t="shared" si="0"/>
        <v/>
      </c>
      <c r="N7" s="73"/>
    </row>
    <row r="8" spans="1:111" ht="15" customHeight="1">
      <c r="A8" s="105"/>
      <c r="B8" s="105"/>
      <c r="C8" s="105"/>
      <c r="D8" s="106"/>
      <c r="E8" s="105"/>
      <c r="F8" s="105"/>
      <c r="G8" s="105"/>
      <c r="H8" s="105"/>
      <c r="I8" s="106"/>
      <c r="J8" s="102"/>
      <c r="K8" t="str">
        <f>IF(A8&gt;0,VLOOKUP(A8,טבלאות!$J:$K,2,0),"")</f>
        <v/>
      </c>
      <c r="L8" s="50" t="str">
        <f>IF(ISERROR(VLOOKUP(B8,טבלאות!$G:$H,2,0)),"",VLOOKUP(B8,טבלאות!$G:$H,2,0))</f>
        <v/>
      </c>
      <c r="M8" s="51" t="str">
        <f t="shared" si="0"/>
        <v/>
      </c>
    </row>
    <row r="9" spans="1:111" ht="15" customHeight="1">
      <c r="A9" s="105"/>
      <c r="B9" s="105"/>
      <c r="C9" s="105"/>
      <c r="D9" s="106"/>
      <c r="E9" s="105"/>
      <c r="F9" s="105"/>
      <c r="G9" s="105"/>
      <c r="H9" s="105"/>
      <c r="I9" s="106"/>
      <c r="J9" s="102"/>
      <c r="K9" t="str">
        <f>IF(A9&gt;0,VLOOKUP(A9,טבלאות!$J:$K,2,0),"")</f>
        <v/>
      </c>
      <c r="L9" s="50" t="str">
        <f>IF(ISERROR(VLOOKUP(B9,טבלאות!$G:$H,2,0)),"",VLOOKUP(B9,טבלאות!$G:$H,2,0))</f>
        <v/>
      </c>
      <c r="M9" s="51" t="str">
        <f t="shared" si="0"/>
        <v/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</row>
    <row r="10" spans="1:111">
      <c r="A10" s="105"/>
      <c r="B10" s="105"/>
      <c r="C10" s="105"/>
      <c r="D10" s="106"/>
      <c r="E10" s="105"/>
      <c r="F10" s="105"/>
      <c r="G10" s="105"/>
      <c r="H10" s="105"/>
      <c r="I10" s="106"/>
      <c r="J10" s="102"/>
      <c r="K10" t="str">
        <f>IF(A10&gt;0,VLOOKUP(A10,טבלאות!$J:$K,2,0),"")</f>
        <v/>
      </c>
      <c r="L10" s="50" t="str">
        <f>IF(ISERROR(VLOOKUP(B10,טבלאות!$G:$H,2,0)),"",VLOOKUP(B10,טבלאות!$G:$H,2,0))</f>
        <v/>
      </c>
      <c r="M10" s="51" t="str">
        <f t="shared" si="0"/>
        <v/>
      </c>
    </row>
    <row r="11" spans="1:111">
      <c r="A11" s="105"/>
      <c r="B11" s="105"/>
      <c r="C11" s="105"/>
      <c r="D11" s="106"/>
      <c r="E11" s="105"/>
      <c r="F11" s="105"/>
      <c r="G11" s="105"/>
      <c r="H11" s="105"/>
      <c r="I11" s="106"/>
      <c r="J11" s="102"/>
      <c r="K11" t="str">
        <f>IF(A11&gt;0,VLOOKUP(A11,טבלאות!$J:$K,2,0),"")</f>
        <v/>
      </c>
      <c r="L11" s="50" t="str">
        <f>IF(ISERROR(VLOOKUP(B11,טבלאות!$G:$H,2,0)),"",VLOOKUP(B11,טבלאות!$G:$H,2,0))</f>
        <v/>
      </c>
      <c r="M11" s="51" t="str">
        <f t="shared" si="0"/>
        <v/>
      </c>
    </row>
    <row r="12" spans="1:111">
      <c r="A12" s="105"/>
      <c r="B12" s="105"/>
      <c r="C12" s="105"/>
      <c r="D12" s="106"/>
      <c r="E12" s="105"/>
      <c r="F12" s="105"/>
      <c r="G12" s="105"/>
      <c r="H12" s="105"/>
      <c r="I12" s="106"/>
      <c r="J12" s="102"/>
      <c r="K12" t="str">
        <f>IF(A12&gt;0,VLOOKUP(A12,טבלאות!$J:$K,2,0),"")</f>
        <v/>
      </c>
      <c r="L12" s="50" t="str">
        <f>IF(ISERROR(VLOOKUP(B12,טבלאות!$G:$H,2,0)),"",VLOOKUP(B12,טבלאות!$G:$H,2,0))</f>
        <v/>
      </c>
      <c r="M12" s="51" t="str">
        <f t="shared" si="0"/>
        <v/>
      </c>
      <c r="N12" s="73"/>
    </row>
    <row r="13" spans="1:111">
      <c r="A13" s="105"/>
      <c r="B13" s="105"/>
      <c r="C13" s="105"/>
      <c r="D13" s="106"/>
      <c r="E13" s="105"/>
      <c r="F13" s="105"/>
      <c r="G13" s="105"/>
      <c r="H13" s="105"/>
      <c r="I13" s="106"/>
      <c r="J13" s="102"/>
      <c r="K13" t="str">
        <f>IF(A13&gt;0,VLOOKUP(A13,טבלאות!$J:$K,2,0),"")</f>
        <v/>
      </c>
      <c r="L13" s="50" t="str">
        <f>IF(ISERROR(VLOOKUP(B13,טבלאות!$G:$H,2,0)),"",VLOOKUP(B13,טבלאות!$G:$H,2,0))</f>
        <v/>
      </c>
      <c r="M13" s="51" t="str">
        <f t="shared" si="0"/>
        <v/>
      </c>
    </row>
    <row r="14" spans="1:111">
      <c r="A14" s="105"/>
      <c r="B14" s="105"/>
      <c r="C14" s="105"/>
      <c r="D14" s="106"/>
      <c r="E14" s="105"/>
      <c r="F14" s="105"/>
      <c r="G14" s="105"/>
      <c r="H14" s="105"/>
      <c r="I14" s="106"/>
      <c r="J14" s="102"/>
      <c r="K14" t="str">
        <f>IF(A14&gt;0,VLOOKUP(A14,טבלאות!$J:$K,2,0),"")</f>
        <v/>
      </c>
      <c r="L14" s="50" t="str">
        <f>IF(ISERROR(VLOOKUP(B14,טבלאות!$G:$H,2,0)),"",VLOOKUP(B14,טבלאות!$G:$H,2,0))</f>
        <v/>
      </c>
      <c r="M14" s="51" t="str">
        <f t="shared" si="0"/>
        <v/>
      </c>
    </row>
    <row r="15" spans="1:111">
      <c r="A15" s="105"/>
      <c r="B15" s="105"/>
      <c r="C15" s="105"/>
      <c r="D15" s="106"/>
      <c r="E15" s="105"/>
      <c r="F15" s="105"/>
      <c r="G15" s="105"/>
      <c r="H15" s="105"/>
      <c r="I15" s="106"/>
      <c r="J15" s="102"/>
      <c r="K15" t="str">
        <f>IF(A15&gt;0,VLOOKUP(A15,טבלאות!$J:$K,2,0),"")</f>
        <v/>
      </c>
      <c r="L15" s="50" t="str">
        <f>IF(ISERROR(VLOOKUP(B15,טבלאות!$G:$H,2,0)),"",VLOOKUP(B15,טבלאות!$G:$H,2,0))</f>
        <v/>
      </c>
      <c r="M15" s="51" t="str">
        <f t="shared" si="0"/>
        <v/>
      </c>
    </row>
    <row r="16" spans="1:111">
      <c r="A16" s="105"/>
      <c r="B16" s="105"/>
      <c r="C16" s="105"/>
      <c r="D16" s="106"/>
      <c r="E16" s="105"/>
      <c r="F16" s="105"/>
      <c r="G16" s="105"/>
      <c r="H16" s="105"/>
      <c r="I16" s="106"/>
      <c r="J16" s="102"/>
      <c r="K16" t="str">
        <f>IF(A16&gt;0,VLOOKUP(A16,טבלאות!$J:$K,2,0),"")</f>
        <v/>
      </c>
      <c r="L16" s="50" t="str">
        <f>IF(ISERROR(VLOOKUP(B16,טבלאות!$G:$H,2,0)),"",VLOOKUP(B16,טבלאות!$G:$H,2,0))</f>
        <v/>
      </c>
      <c r="M16" s="51" t="str">
        <f t="shared" si="0"/>
        <v/>
      </c>
    </row>
    <row r="17" spans="1:13">
      <c r="A17" s="105"/>
      <c r="B17" s="105"/>
      <c r="C17" s="105"/>
      <c r="D17" s="106"/>
      <c r="E17" s="105"/>
      <c r="F17" s="105"/>
      <c r="G17" s="105"/>
      <c r="H17" s="105"/>
      <c r="I17" s="106"/>
      <c r="J17" s="102"/>
      <c r="K17" t="str">
        <f>IF(A17&gt;0,VLOOKUP(A17,טבלאות!$J:$K,2,0),"")</f>
        <v/>
      </c>
      <c r="L17" s="50" t="str">
        <f>IF(ISERROR(VLOOKUP(B17,טבלאות!$G:$H,2,0)),"",VLOOKUP(B17,טבלאות!$G:$H,2,0))</f>
        <v/>
      </c>
      <c r="M17" s="51" t="str">
        <f t="shared" si="0"/>
        <v/>
      </c>
    </row>
    <row r="18" spans="1:13">
      <c r="A18" s="105"/>
      <c r="B18" s="105"/>
      <c r="C18" s="105"/>
      <c r="D18" s="106"/>
      <c r="E18" s="105"/>
      <c r="F18" s="105"/>
      <c r="G18" s="105"/>
      <c r="H18" s="105"/>
      <c r="I18" s="106"/>
      <c r="J18" s="102"/>
      <c r="K18" t="str">
        <f>IF(A18&gt;0,VLOOKUP(A18,טבלאות!$J:$K,2,0),"")</f>
        <v/>
      </c>
      <c r="L18" s="50" t="str">
        <f>IF(ISERROR(VLOOKUP(B18,טבלאות!$G:$H,2,0)),"",VLOOKUP(B18,טבלאות!$G:$H,2,0))</f>
        <v/>
      </c>
      <c r="M18" s="51" t="str">
        <f t="shared" si="0"/>
        <v/>
      </c>
    </row>
    <row r="19" spans="1:13">
      <c r="A19" s="105"/>
      <c r="B19" s="105"/>
      <c r="C19" s="105"/>
      <c r="D19" s="106"/>
      <c r="E19" s="105"/>
      <c r="F19" s="105"/>
      <c r="G19" s="105"/>
      <c r="H19" s="105"/>
      <c r="I19" s="106"/>
      <c r="J19" s="102"/>
      <c r="K19" t="str">
        <f>IF(A19&gt;0,VLOOKUP(A19,טבלאות!$J:$K,2,0),"")</f>
        <v/>
      </c>
      <c r="L19" s="50" t="str">
        <f>IF(ISERROR(VLOOKUP(B19,טבלאות!$G:$H,2,0)),"",VLOOKUP(B19,טבלאות!$G:$H,2,0))</f>
        <v/>
      </c>
      <c r="M19" s="51" t="str">
        <f t="shared" si="0"/>
        <v/>
      </c>
    </row>
    <row r="20" spans="1:13">
      <c r="A20" s="105"/>
      <c r="B20" s="105"/>
      <c r="C20" s="105"/>
      <c r="D20" s="106"/>
      <c r="E20" s="105"/>
      <c r="F20" s="105"/>
      <c r="G20" s="105"/>
      <c r="H20" s="105"/>
      <c r="I20" s="106"/>
      <c r="J20" s="102"/>
      <c r="K20" t="str">
        <f>IF(A20&gt;0,VLOOKUP(A20,טבלאות!$J:$K,2,0),"")</f>
        <v/>
      </c>
      <c r="L20" s="50" t="str">
        <f>IF(ISERROR(VLOOKUP(B20,טבלאות!$G:$H,2,0)),"",VLOOKUP(B20,טבלאות!$G:$H,2,0))</f>
        <v/>
      </c>
      <c r="M20" s="51" t="str">
        <f t="shared" si="0"/>
        <v/>
      </c>
    </row>
    <row r="21" spans="1:13">
      <c r="A21" s="105"/>
      <c r="B21" s="105"/>
      <c r="C21" s="105"/>
      <c r="D21" s="106"/>
      <c r="E21" s="105"/>
      <c r="F21" s="105"/>
      <c r="G21" s="105"/>
      <c r="H21" s="105"/>
      <c r="I21" s="106"/>
      <c r="J21" s="102"/>
      <c r="K21" t="str">
        <f>IF(A21&gt;0,VLOOKUP(A21,טבלאות!$J:$K,2,0),"")</f>
        <v/>
      </c>
      <c r="L21" s="50" t="str">
        <f>IF(ISERROR(VLOOKUP(B21,טבלאות!$G:$H,2,0)),"",VLOOKUP(B21,טבלאות!$G:$H,2,0))</f>
        <v/>
      </c>
      <c r="M21" s="51" t="str">
        <f t="shared" si="0"/>
        <v/>
      </c>
    </row>
    <row r="22" spans="1:13">
      <c r="A22" s="105"/>
      <c r="B22" s="105"/>
      <c r="C22" s="105"/>
      <c r="D22" s="106"/>
      <c r="E22" s="105"/>
      <c r="F22" s="105"/>
      <c r="G22" s="105"/>
      <c r="H22" s="105"/>
      <c r="I22" s="106"/>
      <c r="J22" s="102"/>
      <c r="K22" t="str">
        <f>IF(A22&gt;0,VLOOKUP(A22,טבלאות!$J:$K,2,0),"")</f>
        <v/>
      </c>
      <c r="L22" s="50" t="str">
        <f>IF(ISERROR(VLOOKUP(B22,טבלאות!$G:$H,2,0)),"",VLOOKUP(B22,טבלאות!$G:$H,2,0))</f>
        <v/>
      </c>
      <c r="M22" s="51" t="str">
        <f t="shared" si="0"/>
        <v/>
      </c>
    </row>
    <row r="23" spans="1:13">
      <c r="A23" s="105"/>
      <c r="B23" s="105"/>
      <c r="C23" s="105"/>
      <c r="D23" s="106"/>
      <c r="E23" s="105"/>
      <c r="F23" s="105"/>
      <c r="G23" s="105"/>
      <c r="H23" s="105"/>
      <c r="I23" s="106"/>
      <c r="J23" s="102"/>
      <c r="K23" t="str">
        <f>IF(A23&gt;0,VLOOKUP(A23,טבלאות!$J:$K,2,0),"")</f>
        <v/>
      </c>
      <c r="L23" s="50" t="str">
        <f>IF(ISERROR(VLOOKUP(B23,טבלאות!$G:$H,2,0)),"",VLOOKUP(B23,טבלאות!$G:$H,2,0))</f>
        <v/>
      </c>
      <c r="M23" s="51" t="str">
        <f t="shared" si="0"/>
        <v/>
      </c>
    </row>
    <row r="24" spans="1:13">
      <c r="A24" s="105"/>
      <c r="B24" s="105"/>
      <c r="C24" s="105"/>
      <c r="D24" s="106"/>
      <c r="E24" s="105"/>
      <c r="F24" s="105"/>
      <c r="G24" s="105"/>
      <c r="H24" s="105"/>
      <c r="I24" s="106"/>
      <c r="J24" s="102"/>
      <c r="K24" t="str">
        <f>IF(A24&gt;0,VLOOKUP(A24,טבלאות!$J:$K,2,0),"")</f>
        <v/>
      </c>
      <c r="L24" s="50" t="str">
        <f>IF(ISERROR(VLOOKUP(B24,טבלאות!$G:$H,2,0)),"",VLOOKUP(B24,טבלאות!$G:$H,2,0))</f>
        <v/>
      </c>
      <c r="M24" s="51" t="str">
        <f t="shared" si="0"/>
        <v/>
      </c>
    </row>
    <row r="25" spans="1:13">
      <c r="A25" s="105"/>
      <c r="B25" s="105"/>
      <c r="C25" s="105"/>
      <c r="D25" s="106"/>
      <c r="E25" s="105"/>
      <c r="F25" s="105"/>
      <c r="G25" s="105"/>
      <c r="H25" s="105"/>
      <c r="I25" s="106"/>
      <c r="J25" s="102"/>
      <c r="K25" t="str">
        <f>IF(A25&gt;0,VLOOKUP(A25,טבלאות!$J:$K,2,0),"")</f>
        <v/>
      </c>
      <c r="L25" s="50" t="str">
        <f>IF(ISERROR(VLOOKUP(B25,טבלאות!$G:$H,2,0)),"",VLOOKUP(B25,טבלאות!$G:$H,2,0))</f>
        <v/>
      </c>
      <c r="M25" s="51" t="str">
        <f t="shared" si="0"/>
        <v/>
      </c>
    </row>
    <row r="26" spans="1:13">
      <c r="A26" s="105"/>
      <c r="B26" s="105"/>
      <c r="C26" s="105"/>
      <c r="D26" s="106"/>
      <c r="E26" s="105"/>
      <c r="F26" s="105"/>
      <c r="G26" s="105"/>
      <c r="H26" s="105"/>
      <c r="I26" s="106"/>
      <c r="J26" s="102"/>
      <c r="K26" t="str">
        <f>IF(A26&gt;0,VLOOKUP(A26,טבלאות!$J:$K,2,0),"")</f>
        <v/>
      </c>
      <c r="L26" s="50" t="str">
        <f>IF(ISERROR(VLOOKUP(B26,טבלאות!$G:$H,2,0)),"",VLOOKUP(B26,טבלאות!$G:$H,2,0))</f>
        <v/>
      </c>
      <c r="M26" s="51" t="str">
        <f t="shared" si="0"/>
        <v/>
      </c>
    </row>
    <row r="27" spans="1:13">
      <c r="A27" s="105"/>
      <c r="B27" s="105"/>
      <c r="C27" s="105"/>
      <c r="D27" s="106"/>
      <c r="E27" s="105"/>
      <c r="F27" s="105"/>
      <c r="G27" s="105"/>
      <c r="H27" s="105"/>
      <c r="I27" s="106"/>
      <c r="J27" s="102"/>
      <c r="K27" t="str">
        <f>IF(A27&gt;0,VLOOKUP(A27,טבלאות!$J:$K,2,0),"")</f>
        <v/>
      </c>
      <c r="L27" s="50" t="str">
        <f>IF(ISERROR(VLOOKUP(B27,טבלאות!$G:$H,2,0)),"",VLOOKUP(B27,טבלאות!$G:$H,2,0))</f>
        <v/>
      </c>
      <c r="M27" s="51" t="str">
        <f t="shared" si="0"/>
        <v/>
      </c>
    </row>
    <row r="28" spans="1:13">
      <c r="A28" s="105"/>
      <c r="B28" s="105"/>
      <c r="C28" s="105"/>
      <c r="D28" s="106"/>
      <c r="E28" s="105"/>
      <c r="F28" s="105"/>
      <c r="G28" s="105"/>
      <c r="H28" s="105"/>
      <c r="I28" s="106"/>
      <c r="J28" s="102"/>
      <c r="K28" t="str">
        <f>IF(A28&gt;0,VLOOKUP(A28,טבלאות!$J:$K,2,0),"")</f>
        <v/>
      </c>
      <c r="L28" s="50" t="str">
        <f>IF(ISERROR(VLOOKUP(B28,טבלאות!$G:$H,2,0)),"",VLOOKUP(B28,טבלאות!$G:$H,2,0))</f>
        <v/>
      </c>
      <c r="M28" s="51" t="str">
        <f t="shared" si="0"/>
        <v/>
      </c>
    </row>
    <row r="29" spans="1:13">
      <c r="A29" s="105"/>
      <c r="B29" s="105"/>
      <c r="C29" s="105"/>
      <c r="D29" s="106"/>
      <c r="E29" s="105"/>
      <c r="F29" s="105"/>
      <c r="G29" s="105"/>
      <c r="H29" s="105"/>
      <c r="I29" s="106"/>
      <c r="J29" s="102"/>
      <c r="K29" t="str">
        <f>IF(A29&gt;0,VLOOKUP(A29,טבלאות!$J:$K,2,0),"")</f>
        <v/>
      </c>
      <c r="L29" s="50" t="str">
        <f>IF(ISERROR(VLOOKUP(B29,טבלאות!$G:$H,2,0)),"",VLOOKUP(B29,טבלאות!$G:$H,2,0))</f>
        <v/>
      </c>
      <c r="M29" s="51" t="str">
        <f t="shared" si="0"/>
        <v/>
      </c>
    </row>
    <row r="30" spans="1:13">
      <c r="A30" s="105"/>
      <c r="B30" s="105"/>
      <c r="C30" s="105"/>
      <c r="D30" s="106"/>
      <c r="E30" s="105"/>
      <c r="F30" s="105"/>
      <c r="G30" s="105"/>
      <c r="H30" s="105"/>
      <c r="I30" s="106"/>
      <c r="J30" s="102"/>
      <c r="K30" t="str">
        <f>IF(A30&gt;0,VLOOKUP(A30,טבלאות!$J:$K,2,0),"")</f>
        <v/>
      </c>
      <c r="L30" s="50" t="str">
        <f>IF(ISERROR(VLOOKUP(B30,טבלאות!$G:$H,2,0)),"",VLOOKUP(B30,טבלאות!$G:$H,2,0))</f>
        <v/>
      </c>
      <c r="M30" s="51" t="str">
        <f t="shared" si="0"/>
        <v/>
      </c>
    </row>
    <row r="31" spans="1:13">
      <c r="A31" s="105"/>
      <c r="B31" s="105"/>
      <c r="C31" s="105"/>
      <c r="D31" s="106"/>
      <c r="E31" s="105"/>
      <c r="F31" s="105"/>
      <c r="G31" s="105"/>
      <c r="H31" s="105"/>
      <c r="I31" s="106"/>
      <c r="J31" s="102"/>
      <c r="K31" t="str">
        <f>IF(A31&gt;0,VLOOKUP(A31,טבלאות!$J:$K,2,0),"")</f>
        <v/>
      </c>
      <c r="L31" s="50" t="str">
        <f>IF(ISERROR(VLOOKUP(B31,טבלאות!$G:$H,2,0)),"",VLOOKUP(B31,טבלאות!$G:$H,2,0))</f>
        <v/>
      </c>
      <c r="M31" s="51" t="str">
        <f t="shared" si="0"/>
        <v/>
      </c>
    </row>
    <row r="32" spans="1:13">
      <c r="A32" s="105"/>
      <c r="B32" s="105"/>
      <c r="C32" s="105"/>
      <c r="D32" s="106"/>
      <c r="E32" s="105"/>
      <c r="F32" s="105"/>
      <c r="G32" s="105"/>
      <c r="H32" s="105"/>
      <c r="I32" s="106"/>
      <c r="J32" s="102"/>
      <c r="K32" t="str">
        <f>IF(A32&gt;0,VLOOKUP(A32,טבלאות!$J:$K,2,0),"")</f>
        <v/>
      </c>
      <c r="L32" s="50" t="str">
        <f>IF(ISERROR(VLOOKUP(B32,טבלאות!$G:$H,2,0)),"",VLOOKUP(B32,טבלאות!$G:$H,2,0))</f>
        <v/>
      </c>
      <c r="M32" s="51" t="str">
        <f t="shared" si="0"/>
        <v/>
      </c>
    </row>
    <row r="33" spans="1:13">
      <c r="A33" s="105"/>
      <c r="B33" s="105"/>
      <c r="C33" s="105"/>
      <c r="D33" s="106"/>
      <c r="E33" s="105"/>
      <c r="F33" s="105"/>
      <c r="G33" s="105"/>
      <c r="H33" s="105"/>
      <c r="I33" s="106"/>
      <c r="J33" s="102"/>
      <c r="K33" t="str">
        <f>IF(A33&gt;0,VLOOKUP(A33,טבלאות!$J:$K,2,0),"")</f>
        <v/>
      </c>
      <c r="L33" s="50" t="str">
        <f>IF(ISERROR(VLOOKUP(B33,טבלאות!$G:$H,2,0)),"",VLOOKUP(B33,טבלאות!$G:$H,2,0))</f>
        <v/>
      </c>
      <c r="M33" s="51" t="str">
        <f t="shared" si="0"/>
        <v/>
      </c>
    </row>
    <row r="34" spans="1:13">
      <c r="A34" s="105"/>
      <c r="B34" s="105"/>
      <c r="C34" s="105"/>
      <c r="D34" s="106"/>
      <c r="E34" s="105"/>
      <c r="F34" s="105"/>
      <c r="G34" s="105"/>
      <c r="H34" s="105"/>
      <c r="I34" s="106"/>
      <c r="J34" s="102"/>
      <c r="K34" t="str">
        <f>IF(A34&gt;0,VLOOKUP(A34,טבלאות!$J:$K,2,0),"")</f>
        <v/>
      </c>
      <c r="L34" s="50" t="str">
        <f>IF(ISERROR(VLOOKUP(B34,טבלאות!$G:$H,2,0)),"",VLOOKUP(B34,טבלאות!$G:$H,2,0))</f>
        <v/>
      </c>
      <c r="M34" s="51" t="str">
        <f t="shared" si="0"/>
        <v/>
      </c>
    </row>
    <row r="35" spans="1:13">
      <c r="A35" s="105"/>
      <c r="B35" s="105"/>
      <c r="C35" s="105"/>
      <c r="D35" s="106"/>
      <c r="E35" s="105"/>
      <c r="F35" s="105"/>
      <c r="G35" s="105"/>
      <c r="H35" s="105"/>
      <c r="I35" s="106"/>
      <c r="J35" s="102"/>
      <c r="K35" t="str">
        <f>IF(A35&gt;0,VLOOKUP(A35,טבלאות!$J:$K,2,0),"")</f>
        <v/>
      </c>
      <c r="L35" s="50" t="str">
        <f>IF(ISERROR(VLOOKUP(B35,טבלאות!$G:$H,2,0)),"",VLOOKUP(B35,טבלאות!$G:$H,2,0))</f>
        <v/>
      </c>
      <c r="M35" s="51" t="str">
        <f t="shared" si="0"/>
        <v/>
      </c>
    </row>
    <row r="36" spans="1:13">
      <c r="A36" s="105"/>
      <c r="B36" s="105"/>
      <c r="C36" s="105"/>
      <c r="D36" s="106"/>
      <c r="E36" s="105"/>
      <c r="F36" s="105"/>
      <c r="G36" s="105"/>
      <c r="H36" s="105"/>
      <c r="I36" s="106"/>
      <c r="J36" s="102"/>
      <c r="K36" t="str">
        <f>IF(A36&gt;0,VLOOKUP(A36,טבלאות!$J:$K,2,0),"")</f>
        <v/>
      </c>
      <c r="L36" s="50" t="str">
        <f>IF(ISERROR(VLOOKUP(B36,טבלאות!$G:$H,2,0)),"",VLOOKUP(B36,טבלאות!$G:$H,2,0))</f>
        <v/>
      </c>
      <c r="M36" s="51" t="str">
        <f t="shared" si="0"/>
        <v/>
      </c>
    </row>
    <row r="37" spans="1:13">
      <c r="A37" s="105"/>
      <c r="B37" s="105"/>
      <c r="C37" s="105"/>
      <c r="D37" s="106"/>
      <c r="E37" s="105"/>
      <c r="F37" s="105"/>
      <c r="G37" s="105"/>
      <c r="H37" s="105"/>
      <c r="I37" s="106"/>
      <c r="J37" s="102"/>
      <c r="K37" t="str">
        <f>IF(A37&gt;0,VLOOKUP(A37,טבלאות!$J:$K,2,0),"")</f>
        <v/>
      </c>
      <c r="L37" s="50" t="str">
        <f>IF(ISERROR(VLOOKUP(B37,טבלאות!$G:$H,2,0)),"",VLOOKUP(B37,טבלאות!$G:$H,2,0))</f>
        <v/>
      </c>
      <c r="M37" s="51" t="str">
        <f t="shared" si="0"/>
        <v/>
      </c>
    </row>
    <row r="38" spans="1:13">
      <c r="A38" s="105"/>
      <c r="B38" s="105"/>
      <c r="C38" s="105"/>
      <c r="D38" s="106"/>
      <c r="E38" s="105"/>
      <c r="F38" s="105"/>
      <c r="G38" s="105"/>
      <c r="H38" s="105"/>
      <c r="I38" s="106"/>
      <c r="J38" s="102"/>
      <c r="K38" t="str">
        <f>IF(A38&gt;0,VLOOKUP(A38,טבלאות!$J:$K,2,0),"")</f>
        <v/>
      </c>
      <c r="L38" s="50" t="str">
        <f>IF(ISERROR(VLOOKUP(B38,טבלאות!$G:$H,2,0)),"",VLOOKUP(B38,טבלאות!$G:$H,2,0))</f>
        <v/>
      </c>
      <c r="M38" s="51" t="str">
        <f t="shared" si="0"/>
        <v/>
      </c>
    </row>
    <row r="39" spans="1:13">
      <c r="A39" s="105"/>
      <c r="B39" s="105"/>
      <c r="C39" s="105"/>
      <c r="D39" s="106"/>
      <c r="E39" s="105"/>
      <c r="F39" s="105"/>
      <c r="G39" s="105"/>
      <c r="H39" s="105"/>
      <c r="I39" s="106"/>
      <c r="J39" s="102"/>
      <c r="K39" t="str">
        <f>IF(A39&gt;0,VLOOKUP(A39,טבלאות!$J:$K,2,0),"")</f>
        <v/>
      </c>
      <c r="L39" s="50" t="str">
        <f>IF(ISERROR(VLOOKUP(B39,טבלאות!$G:$H,2,0)),"",VLOOKUP(B39,טבלאות!$G:$H,2,0))</f>
        <v/>
      </c>
      <c r="M39" s="51" t="str">
        <f t="shared" si="0"/>
        <v/>
      </c>
    </row>
    <row r="40" spans="1:13">
      <c r="A40" s="105"/>
      <c r="B40" s="105"/>
      <c r="C40" s="105"/>
      <c r="D40" s="106"/>
      <c r="E40" s="105"/>
      <c r="F40" s="105"/>
      <c r="G40" s="105"/>
      <c r="H40" s="105"/>
      <c r="I40" s="106"/>
      <c r="J40" s="102"/>
      <c r="K40" t="str">
        <f>IF(A40&gt;0,VLOOKUP(A40,טבלאות!$J:$K,2,0),"")</f>
        <v/>
      </c>
      <c r="L40" s="50" t="str">
        <f>IF(ISERROR(VLOOKUP(B40,טבלאות!$G:$H,2,0)),"",VLOOKUP(B40,טבלאות!$G:$H,2,0))</f>
        <v/>
      </c>
      <c r="M40" s="51" t="str">
        <f t="shared" si="0"/>
        <v/>
      </c>
    </row>
    <row r="41" spans="1:13">
      <c r="A41" s="105"/>
      <c r="B41" s="105"/>
      <c r="C41" s="105"/>
      <c r="D41" s="106"/>
      <c r="E41" s="105"/>
      <c r="F41" s="105"/>
      <c r="G41" s="105"/>
      <c r="H41" s="105"/>
      <c r="I41" s="106"/>
      <c r="J41" s="102"/>
      <c r="K41" t="str">
        <f>IF(A41&gt;0,VLOOKUP(A41,טבלאות!$J:$K,2,0),"")</f>
        <v/>
      </c>
      <c r="L41" s="50" t="str">
        <f>IF(ISERROR(VLOOKUP(B41,טבלאות!$G:$H,2,0)),"",VLOOKUP(B41,טבלאות!$G:$H,2,0))</f>
        <v/>
      </c>
      <c r="M41" s="51" t="str">
        <f t="shared" si="0"/>
        <v/>
      </c>
    </row>
    <row r="42" spans="1:13">
      <c r="A42" s="105"/>
      <c r="B42" s="105"/>
      <c r="C42" s="105"/>
      <c r="D42" s="106"/>
      <c r="E42" s="105"/>
      <c r="F42" s="105"/>
      <c r="G42" s="105"/>
      <c r="H42" s="105"/>
      <c r="I42" s="106"/>
      <c r="J42" s="102"/>
      <c r="K42" t="str">
        <f>IF(A42&gt;0,VLOOKUP(A42,טבלאות!$J:$K,2,0),"")</f>
        <v/>
      </c>
      <c r="L42" s="50" t="str">
        <f>IF(ISERROR(VLOOKUP(B42,טבלאות!$G:$H,2,0)),"",VLOOKUP(B42,טבלאות!$G:$H,2,0))</f>
        <v/>
      </c>
      <c r="M42" s="51" t="str">
        <f t="shared" si="0"/>
        <v/>
      </c>
    </row>
    <row r="43" spans="1:13">
      <c r="A43" s="105"/>
      <c r="B43" s="105"/>
      <c r="C43" s="105"/>
      <c r="D43" s="106"/>
      <c r="E43" s="105"/>
      <c r="F43" s="105"/>
      <c r="G43" s="105"/>
      <c r="H43" s="105"/>
      <c r="I43" s="106"/>
      <c r="J43" s="102"/>
      <c r="K43" t="str">
        <f>IF(A43&gt;0,VLOOKUP(A43,טבלאות!$J:$K,2,0),"")</f>
        <v/>
      </c>
      <c r="L43" s="50" t="str">
        <f>IF(ISERROR(VLOOKUP(B43,טבלאות!$G:$H,2,0)),"",VLOOKUP(B43,טבלאות!$G:$H,2,0))</f>
        <v/>
      </c>
      <c r="M43" s="51" t="str">
        <f t="shared" si="0"/>
        <v/>
      </c>
    </row>
    <row r="44" spans="1:13">
      <c r="A44" s="105"/>
      <c r="B44" s="105"/>
      <c r="C44" s="105"/>
      <c r="D44" s="106"/>
      <c r="E44" s="105"/>
      <c r="F44" s="105"/>
      <c r="G44" s="105"/>
      <c r="H44" s="105"/>
      <c r="I44" s="106"/>
      <c r="J44" s="102"/>
      <c r="K44" t="str">
        <f>IF(A44&gt;0,VLOOKUP(A44,טבלאות!$J:$K,2,0),"")</f>
        <v/>
      </c>
      <c r="L44" s="50" t="str">
        <f>IF(ISERROR(VLOOKUP(B44,טבלאות!$G:$H,2,0)),"",VLOOKUP(B44,טבלאות!$G:$H,2,0))</f>
        <v/>
      </c>
      <c r="M44" s="51" t="str">
        <f t="shared" si="0"/>
        <v/>
      </c>
    </row>
    <row r="45" spans="1:13">
      <c r="A45" s="105"/>
      <c r="B45" s="105"/>
      <c r="C45" s="105"/>
      <c r="D45" s="106"/>
      <c r="E45" s="105"/>
      <c r="F45" s="105"/>
      <c r="G45" s="105"/>
      <c r="H45" s="105"/>
      <c r="I45" s="106"/>
      <c r="J45" s="102"/>
      <c r="K45" t="str">
        <f>IF(A45&gt;0,VLOOKUP(A45,טבלאות!$J:$K,2,0),"")</f>
        <v/>
      </c>
      <c r="L45" s="50" t="str">
        <f>IF(ISERROR(VLOOKUP(B45,טבלאות!$G:$H,2,0)),"",VLOOKUP(B45,טבלאות!$G:$H,2,0))</f>
        <v/>
      </c>
      <c r="M45" s="51" t="str">
        <f t="shared" si="0"/>
        <v/>
      </c>
    </row>
    <row r="46" spans="1:13">
      <c r="A46" s="105"/>
      <c r="B46" s="105"/>
      <c r="C46" s="105"/>
      <c r="D46" s="106"/>
      <c r="E46" s="105"/>
      <c r="F46" s="105"/>
      <c r="G46" s="105"/>
      <c r="H46" s="105"/>
      <c r="I46" s="106"/>
      <c r="J46" s="102"/>
      <c r="K46" t="str">
        <f>IF(A46&gt;0,VLOOKUP(A46,טבלאות!$J:$K,2,0),"")</f>
        <v/>
      </c>
      <c r="L46" s="50" t="str">
        <f>IF(ISERROR(VLOOKUP(B46,טבלאות!$G:$H,2,0)),"",VLOOKUP(B46,טבלאות!$G:$H,2,0))</f>
        <v/>
      </c>
      <c r="M46" s="51" t="str">
        <f t="shared" si="0"/>
        <v/>
      </c>
    </row>
    <row r="47" spans="1:13">
      <c r="A47" s="105"/>
      <c r="B47" s="105"/>
      <c r="C47" s="105"/>
      <c r="D47" s="106"/>
      <c r="E47" s="105"/>
      <c r="F47" s="105"/>
      <c r="G47" s="105"/>
      <c r="H47" s="105"/>
      <c r="I47" s="106"/>
      <c r="J47" s="102"/>
      <c r="K47" t="str">
        <f>IF(A47&gt;0,VLOOKUP(A47,טבלאות!$J:$K,2,0),"")</f>
        <v/>
      </c>
      <c r="L47" s="50" t="str">
        <f>IF(ISERROR(VLOOKUP(B47,טבלאות!$G:$H,2,0)),"",VLOOKUP(B47,טבלאות!$G:$H,2,0))</f>
        <v/>
      </c>
      <c r="M47" s="51" t="str">
        <f t="shared" si="0"/>
        <v/>
      </c>
    </row>
    <row r="48" spans="1:13">
      <c r="A48" s="105"/>
      <c r="B48" s="105"/>
      <c r="C48" s="105"/>
      <c r="D48" s="106"/>
      <c r="E48" s="105"/>
      <c r="F48" s="105"/>
      <c r="G48" s="105"/>
      <c r="H48" s="105"/>
      <c r="I48" s="106"/>
      <c r="J48" s="102"/>
      <c r="K48" t="str">
        <f>IF(A48&gt;0,VLOOKUP(A48,טבלאות!$J:$K,2,0),"")</f>
        <v/>
      </c>
      <c r="L48" s="50" t="str">
        <f>IF(ISERROR(VLOOKUP(B48,טבלאות!$G:$H,2,0)),"",VLOOKUP(B48,טבלאות!$G:$H,2,0))</f>
        <v/>
      </c>
      <c r="M48" s="51" t="str">
        <f t="shared" si="0"/>
        <v/>
      </c>
    </row>
    <row r="49" spans="1:13">
      <c r="A49" s="105"/>
      <c r="B49" s="105"/>
      <c r="C49" s="105"/>
      <c r="D49" s="106"/>
      <c r="E49" s="105"/>
      <c r="F49" s="105"/>
      <c r="G49" s="105"/>
      <c r="H49" s="105"/>
      <c r="I49" s="106"/>
      <c r="J49" s="102"/>
      <c r="K49" t="str">
        <f>IF(A49&gt;0,VLOOKUP(A49,טבלאות!$J:$K,2,0),"")</f>
        <v/>
      </c>
      <c r="L49" s="50" t="str">
        <f>IF(ISERROR(VLOOKUP(B49,טבלאות!$G:$H,2,0)),"",VLOOKUP(B49,טבלאות!$G:$H,2,0))</f>
        <v/>
      </c>
      <c r="M49" s="51" t="str">
        <f t="shared" si="0"/>
        <v/>
      </c>
    </row>
    <row r="50" spans="1:13">
      <c r="A50" s="105"/>
      <c r="B50" s="105"/>
      <c r="C50" s="105"/>
      <c r="D50" s="106"/>
      <c r="E50" s="105"/>
      <c r="F50" s="105"/>
      <c r="G50" s="105"/>
      <c r="H50" s="105"/>
      <c r="I50" s="106"/>
      <c r="J50" s="102"/>
      <c r="K50" t="str">
        <f>IF(A50&gt;0,VLOOKUP(A50,טבלאות!$J:$K,2,0),"")</f>
        <v/>
      </c>
      <c r="L50" s="50" t="str">
        <f>IF(ISERROR(VLOOKUP(B50,טבלאות!$G:$H,2,0)),"",VLOOKUP(B50,טבלאות!$G:$H,2,0))</f>
        <v/>
      </c>
      <c r="M50" s="51" t="str">
        <f t="shared" si="0"/>
        <v/>
      </c>
    </row>
    <row r="51" spans="1:13">
      <c r="A51" s="105"/>
      <c r="B51" s="105"/>
      <c r="C51" s="105"/>
      <c r="D51" s="106"/>
      <c r="E51" s="105"/>
      <c r="F51" s="105"/>
      <c r="G51" s="105"/>
      <c r="H51" s="105"/>
      <c r="I51" s="106"/>
      <c r="J51" s="102"/>
      <c r="K51" t="str">
        <f>IF(A51&gt;0,VLOOKUP(A51,טבלאות!$J:$K,2,0),"")</f>
        <v/>
      </c>
      <c r="L51" s="50" t="str">
        <f>IF(ISERROR(VLOOKUP(B51,טבלאות!$G:$H,2,0)),"",VLOOKUP(B51,טבלאות!$G:$H,2,0))</f>
        <v/>
      </c>
      <c r="M51" s="51" t="str">
        <f t="shared" si="0"/>
        <v/>
      </c>
    </row>
    <row r="52" spans="1:13">
      <c r="A52" s="105"/>
      <c r="B52" s="105"/>
      <c r="C52" s="105"/>
      <c r="D52" s="106"/>
      <c r="E52" s="105"/>
      <c r="F52" s="105"/>
      <c r="G52" s="105"/>
      <c r="H52" s="105"/>
      <c r="I52" s="106"/>
      <c r="J52" s="102"/>
      <c r="K52" t="str">
        <f>IF(A52&gt;0,VLOOKUP(A52,טבלאות!$J:$K,2,0),"")</f>
        <v/>
      </c>
      <c r="L52" s="50" t="str">
        <f>IF(ISERROR(VLOOKUP(B52,טבלאות!$G:$H,2,0)),"",VLOOKUP(B52,טבלאות!$G:$H,2,0))</f>
        <v/>
      </c>
      <c r="M52" s="51" t="str">
        <f t="shared" si="0"/>
        <v/>
      </c>
    </row>
    <row r="53" spans="1:13">
      <c r="A53" s="105"/>
      <c r="B53" s="105"/>
      <c r="C53" s="105"/>
      <c r="D53" s="106"/>
      <c r="E53" s="105"/>
      <c r="F53" s="105"/>
      <c r="G53" s="105"/>
      <c r="H53" s="105"/>
      <c r="I53" s="106"/>
      <c r="J53" s="102"/>
      <c r="K53" t="str">
        <f>IF(A53&gt;0,VLOOKUP(A53,טבלאות!$J:$K,2,0),"")</f>
        <v/>
      </c>
      <c r="L53" s="50" t="str">
        <f>IF(ISERROR(VLOOKUP(B53,טבלאות!$G:$H,2,0)),"",VLOOKUP(B53,טבלאות!$G:$H,2,0))</f>
        <v/>
      </c>
      <c r="M53" s="51" t="str">
        <f t="shared" si="0"/>
        <v/>
      </c>
    </row>
    <row r="54" spans="1:13">
      <c r="A54" s="105"/>
      <c r="B54" s="105"/>
      <c r="C54" s="105"/>
      <c r="D54" s="106"/>
      <c r="E54" s="105"/>
      <c r="F54" s="105"/>
      <c r="G54" s="105"/>
      <c r="H54" s="105"/>
      <c r="I54" s="106"/>
      <c r="J54" s="102"/>
      <c r="K54" t="str">
        <f>IF(A54&gt;0,VLOOKUP(A54,טבלאות!$J:$K,2,0),"")</f>
        <v/>
      </c>
      <c r="L54" s="50" t="str">
        <f>IF(ISERROR(VLOOKUP(B54,טבלאות!$G:$H,2,0)),"",VLOOKUP(B54,טבלאות!$G:$H,2,0))</f>
        <v/>
      </c>
      <c r="M54" s="51" t="str">
        <f t="shared" si="0"/>
        <v/>
      </c>
    </row>
    <row r="55" spans="1:13">
      <c r="A55" s="105"/>
      <c r="B55" s="105"/>
      <c r="C55" s="105"/>
      <c r="D55" s="106"/>
      <c r="E55" s="105"/>
      <c r="F55" s="105"/>
      <c r="G55" s="105"/>
      <c r="H55" s="105"/>
      <c r="I55" s="106"/>
      <c r="J55" s="102"/>
      <c r="K55" t="str">
        <f>IF(A55&gt;0,VLOOKUP(A55,טבלאות!$J:$K,2,0),"")</f>
        <v/>
      </c>
      <c r="L55" s="50" t="str">
        <f>IF(ISERROR(VLOOKUP(B55,טבלאות!$G:$H,2,0)),"",VLOOKUP(B55,טבלאות!$G:$H,2,0))</f>
        <v/>
      </c>
      <c r="M55" s="51" t="str">
        <f t="shared" si="0"/>
        <v/>
      </c>
    </row>
    <row r="56" spans="1:13">
      <c r="A56" s="105"/>
      <c r="B56" s="105"/>
      <c r="C56" s="105"/>
      <c r="D56" s="106"/>
      <c r="E56" s="105"/>
      <c r="F56" s="105"/>
      <c r="G56" s="105"/>
      <c r="H56" s="105"/>
      <c r="I56" s="106"/>
      <c r="J56" s="102"/>
      <c r="K56" t="str">
        <f>IF(A56&gt;0,VLOOKUP(A56,טבלאות!$J:$K,2,0),"")</f>
        <v/>
      </c>
      <c r="L56" s="50" t="str">
        <f>IF(ISERROR(VLOOKUP(B56,טבלאות!$G:$H,2,0)),"",VLOOKUP(B56,טבלאות!$G:$H,2,0))</f>
        <v/>
      </c>
      <c r="M56" s="51" t="str">
        <f t="shared" si="0"/>
        <v/>
      </c>
    </row>
    <row r="57" spans="1:13">
      <c r="A57" s="105"/>
      <c r="B57" s="105"/>
      <c r="C57" s="105"/>
      <c r="D57" s="106"/>
      <c r="E57" s="105"/>
      <c r="F57" s="105"/>
      <c r="G57" s="105"/>
      <c r="H57" s="105"/>
      <c r="I57" s="106"/>
      <c r="J57" s="102"/>
      <c r="K57" t="str">
        <f>IF(A57&gt;0,VLOOKUP(A57,טבלאות!$J:$K,2,0),"")</f>
        <v/>
      </c>
      <c r="L57" s="50" t="str">
        <f>IF(ISERROR(VLOOKUP(B57,טבלאות!$G:$H,2,0)),"",VLOOKUP(B57,טבלאות!$G:$H,2,0))</f>
        <v/>
      </c>
      <c r="M57" s="51" t="str">
        <f t="shared" si="0"/>
        <v/>
      </c>
    </row>
    <row r="58" spans="1:13">
      <c r="A58" s="105"/>
      <c r="B58" s="105"/>
      <c r="C58" s="105"/>
      <c r="D58" s="106"/>
      <c r="E58" s="105"/>
      <c r="F58" s="105"/>
      <c r="G58" s="105"/>
      <c r="H58" s="105"/>
      <c r="I58" s="106"/>
      <c r="J58" s="102"/>
      <c r="K58" t="str">
        <f>IF(A58&gt;0,VLOOKUP(A58,טבלאות!$J:$K,2,0),"")</f>
        <v/>
      </c>
      <c r="L58" s="50" t="str">
        <f>IF(ISERROR(VLOOKUP(B58,טבלאות!$G:$H,2,0)),"",VLOOKUP(B58,טבלאות!$G:$H,2,0))</f>
        <v/>
      </c>
      <c r="M58" s="51" t="str">
        <f t="shared" si="0"/>
        <v/>
      </c>
    </row>
    <row r="59" spans="1:13">
      <c r="A59" s="105"/>
      <c r="B59" s="105"/>
      <c r="C59" s="105"/>
      <c r="D59" s="106"/>
      <c r="E59" s="105"/>
      <c r="F59" s="105"/>
      <c r="G59" s="105"/>
      <c r="H59" s="105"/>
      <c r="I59" s="106"/>
      <c r="J59" s="102"/>
      <c r="K59" t="str">
        <f>IF(A59&gt;0,VLOOKUP(A59,טבלאות!$J:$K,2,0),"")</f>
        <v/>
      </c>
      <c r="L59" s="50" t="str">
        <f>IF(ISERROR(VLOOKUP(B59,טבלאות!$G:$H,2,0)),"",VLOOKUP(B59,טבלאות!$G:$H,2,0))</f>
        <v/>
      </c>
      <c r="M59" s="51" t="str">
        <f t="shared" si="0"/>
        <v/>
      </c>
    </row>
    <row r="60" spans="1:13">
      <c r="A60" s="105"/>
      <c r="B60" s="105"/>
      <c r="C60" s="105"/>
      <c r="D60" s="106"/>
      <c r="E60" s="105"/>
      <c r="F60" s="105"/>
      <c r="G60" s="105"/>
      <c r="H60" s="105"/>
      <c r="I60" s="106"/>
      <c r="J60" s="102"/>
      <c r="K60" t="str">
        <f>IF(A60&gt;0,VLOOKUP(A60,טבלאות!$J:$K,2,0),"")</f>
        <v/>
      </c>
      <c r="L60" s="50" t="str">
        <f>IF(ISERROR(VLOOKUP(B60,טבלאות!$G:$H,2,0)),"",VLOOKUP(B60,טבלאות!$G:$H,2,0))</f>
        <v/>
      </c>
      <c r="M60" s="51" t="str">
        <f t="shared" si="0"/>
        <v/>
      </c>
    </row>
    <row r="61" spans="1:13">
      <c r="A61" s="105"/>
      <c r="B61" s="105"/>
      <c r="C61" s="105"/>
      <c r="D61" s="106"/>
      <c r="E61" s="105"/>
      <c r="F61" s="105"/>
      <c r="G61" s="105"/>
      <c r="H61" s="105"/>
      <c r="I61" s="106"/>
      <c r="J61" s="102"/>
      <c r="K61" t="str">
        <f>IF(A61&gt;0,VLOOKUP(A61,טבלאות!$J:$K,2,0),"")</f>
        <v/>
      </c>
      <c r="L61" s="50" t="str">
        <f>IF(ISERROR(VLOOKUP(B61,טבלאות!$G:$H,2,0)),"",VLOOKUP(B61,טבלאות!$G:$H,2,0))</f>
        <v/>
      </c>
      <c r="M61" s="51" t="str">
        <f t="shared" si="0"/>
        <v/>
      </c>
    </row>
    <row r="62" spans="1:13">
      <c r="A62" s="105"/>
      <c r="B62" s="105"/>
      <c r="C62" s="105"/>
      <c r="D62" s="106"/>
      <c r="E62" s="105"/>
      <c r="F62" s="105"/>
      <c r="G62" s="105"/>
      <c r="H62" s="105"/>
      <c r="I62" s="106"/>
      <c r="J62" s="102"/>
      <c r="K62" t="str">
        <f>IF(A62&gt;0,VLOOKUP(A62,טבלאות!$J:$K,2,0),"")</f>
        <v/>
      </c>
      <c r="L62" s="50" t="str">
        <f>IF(ISERROR(VLOOKUP(B62,טבלאות!$G:$H,2,0)),"",VLOOKUP(B62,טבלאות!$G:$H,2,0))</f>
        <v/>
      </c>
      <c r="M62" s="51" t="str">
        <f t="shared" si="0"/>
        <v/>
      </c>
    </row>
    <row r="63" spans="1:13">
      <c r="A63" s="105"/>
      <c r="B63" s="105"/>
      <c r="C63" s="105"/>
      <c r="D63" s="106"/>
      <c r="E63" s="105"/>
      <c r="F63" s="105"/>
      <c r="G63" s="105"/>
      <c r="H63" s="105"/>
      <c r="I63" s="106"/>
      <c r="J63" s="102"/>
      <c r="K63" t="str">
        <f>IF(A63&gt;0,VLOOKUP(A63,טבלאות!$J:$K,2,0),"")</f>
        <v/>
      </c>
      <c r="L63" s="50" t="str">
        <f>IF(ISERROR(VLOOKUP(B63,טבלאות!$G:$H,2,0)),"",VLOOKUP(B63,טבלאות!$G:$H,2,0))</f>
        <v/>
      </c>
      <c r="M63" s="51" t="str">
        <f t="shared" si="0"/>
        <v/>
      </c>
    </row>
    <row r="64" spans="1:13">
      <c r="A64" s="105"/>
      <c r="B64" s="105"/>
      <c r="C64" s="105"/>
      <c r="D64" s="106"/>
      <c r="E64" s="105"/>
      <c r="F64" s="105"/>
      <c r="G64" s="105"/>
      <c r="H64" s="105"/>
      <c r="I64" s="106"/>
      <c r="J64" s="102"/>
      <c r="K64" t="str">
        <f>IF(A64&gt;0,VLOOKUP(A64,טבלאות!$J:$K,2,0),"")</f>
        <v/>
      </c>
      <c r="L64" s="50" t="str">
        <f>IF(ISERROR(VLOOKUP(B64,טבלאות!$G:$H,2,0)),"",VLOOKUP(B64,טבלאות!$G:$H,2,0))</f>
        <v/>
      </c>
      <c r="M64" s="51" t="str">
        <f t="shared" si="0"/>
        <v/>
      </c>
    </row>
    <row r="65" spans="1:13">
      <c r="A65" s="105"/>
      <c r="B65" s="105"/>
      <c r="C65" s="105"/>
      <c r="D65" s="106"/>
      <c r="E65" s="105"/>
      <c r="F65" s="105"/>
      <c r="G65" s="105"/>
      <c r="H65" s="105"/>
      <c r="I65" s="106"/>
      <c r="J65" s="102"/>
      <c r="K65" t="str">
        <f>IF(A65&gt;0,VLOOKUP(A65,טבלאות!$J:$K,2,0),"")</f>
        <v/>
      </c>
      <c r="L65" s="50" t="str">
        <f>IF(ISERROR(VLOOKUP(B65,טבלאות!$G:$H,2,0)),"",VLOOKUP(B65,טבלאות!$G:$H,2,0))</f>
        <v/>
      </c>
      <c r="M65" s="51" t="str">
        <f t="shared" si="0"/>
        <v/>
      </c>
    </row>
    <row r="66" spans="1:13">
      <c r="A66" s="105"/>
      <c r="B66" s="105"/>
      <c r="C66" s="105"/>
      <c r="D66" s="106"/>
      <c r="E66" s="105"/>
      <c r="F66" s="105"/>
      <c r="G66" s="105"/>
      <c r="H66" s="105"/>
      <c r="I66" s="106"/>
      <c r="J66" s="102"/>
      <c r="K66" t="str">
        <f>IF(A66&gt;0,VLOOKUP(A66,טבלאות!$J:$K,2,0),"")</f>
        <v/>
      </c>
      <c r="L66" s="50" t="str">
        <f>IF(ISERROR(VLOOKUP(B66,טבלאות!$G:$H,2,0)),"",VLOOKUP(B66,טבלאות!$G:$H,2,0))</f>
        <v/>
      </c>
      <c r="M66" s="51" t="str">
        <f t="shared" ref="M66:M113" si="1">IF(OR(L66="",L66="?"),"",IF(L66&gt;0,I66,""))</f>
        <v/>
      </c>
    </row>
    <row r="67" spans="1:13">
      <c r="A67" s="105"/>
      <c r="B67" s="105"/>
      <c r="C67" s="105"/>
      <c r="D67" s="106"/>
      <c r="E67" s="105"/>
      <c r="F67" s="105"/>
      <c r="G67" s="105"/>
      <c r="H67" s="105"/>
      <c r="I67" s="106"/>
      <c r="K67" t="str">
        <f>IF(A67&gt;0,VLOOKUP(A67,טבלאות!$J:$K,2,0),"")</f>
        <v/>
      </c>
      <c r="L67" s="50" t="str">
        <f>IF(ISERROR(VLOOKUP(B67,טבלאות!$G:$H,2,0)),"",VLOOKUP(B67,טבלאות!$G:$H,2,0))</f>
        <v/>
      </c>
      <c r="M67" s="51" t="str">
        <f t="shared" si="1"/>
        <v/>
      </c>
    </row>
    <row r="68" spans="1:13">
      <c r="A68" s="105"/>
      <c r="B68" s="105"/>
      <c r="C68" s="105"/>
      <c r="D68" s="106"/>
      <c r="E68" s="105"/>
      <c r="F68" s="105"/>
      <c r="G68" s="105"/>
      <c r="H68" s="105"/>
      <c r="I68" s="106"/>
      <c r="K68" t="str">
        <f>IF(A68&gt;0,VLOOKUP(A68,טבלאות!$J:$K,2,0),"")</f>
        <v/>
      </c>
      <c r="L68" s="50" t="str">
        <f>IF(ISERROR(VLOOKUP(B68,טבלאות!$G:$H,2,0)),"",VLOOKUP(B68,טבלאות!$G:$H,2,0))</f>
        <v/>
      </c>
      <c r="M68" s="51" t="str">
        <f t="shared" si="1"/>
        <v/>
      </c>
    </row>
    <row r="69" spans="1:13">
      <c r="A69" s="105"/>
      <c r="B69" s="105"/>
      <c r="C69" s="105"/>
      <c r="D69" s="106"/>
      <c r="E69" s="105"/>
      <c r="F69" s="105"/>
      <c r="G69" s="105"/>
      <c r="H69" s="105"/>
      <c r="I69" s="106"/>
      <c r="K69" t="str">
        <f>IF(A69&gt;0,VLOOKUP(A69,טבלאות!$J:$K,2,0),"")</f>
        <v/>
      </c>
      <c r="L69" s="50" t="str">
        <f>IF(ISERROR(VLOOKUP(B69,טבלאות!$G:$H,2,0)),"",VLOOKUP(B69,טבלאות!$G:$H,2,0))</f>
        <v/>
      </c>
      <c r="M69" s="51" t="str">
        <f t="shared" si="1"/>
        <v/>
      </c>
    </row>
    <row r="70" spans="1:13">
      <c r="A70" s="105"/>
      <c r="B70" s="105"/>
      <c r="C70" s="105"/>
      <c r="D70" s="106"/>
      <c r="E70" s="105"/>
      <c r="F70" s="105"/>
      <c r="G70" s="105"/>
      <c r="H70" s="105"/>
      <c r="I70" s="106"/>
      <c r="K70" t="str">
        <f>IF(A70&gt;0,VLOOKUP(A70,טבלאות!$J:$K,2,0),"")</f>
        <v/>
      </c>
      <c r="L70" s="50" t="str">
        <f>IF(ISERROR(VLOOKUP(B70,טבלאות!$G:$H,2,0)),"",VLOOKUP(B70,טבלאות!$G:$H,2,0))</f>
        <v/>
      </c>
      <c r="M70" s="51" t="str">
        <f t="shared" si="1"/>
        <v/>
      </c>
    </row>
    <row r="71" spans="1:13">
      <c r="A71" s="105"/>
      <c r="B71" s="105"/>
      <c r="C71" s="105"/>
      <c r="D71" s="106"/>
      <c r="E71" s="105"/>
      <c r="F71" s="105"/>
      <c r="G71" s="105"/>
      <c r="H71" s="105"/>
      <c r="I71" s="106"/>
      <c r="K71" t="str">
        <f>IF(A71&gt;0,VLOOKUP(A71,טבלאות!$J:$K,2,0),"")</f>
        <v/>
      </c>
      <c r="L71" s="50" t="str">
        <f>IF(ISERROR(VLOOKUP(B71,טבלאות!$G:$H,2,0)),"",VLOOKUP(B71,טבלאות!$G:$H,2,0))</f>
        <v/>
      </c>
      <c r="M71" s="51" t="str">
        <f t="shared" si="1"/>
        <v/>
      </c>
    </row>
    <row r="72" spans="1:13">
      <c r="A72" s="105"/>
      <c r="B72" s="105"/>
      <c r="C72" s="105"/>
      <c r="D72" s="106"/>
      <c r="E72" s="105"/>
      <c r="F72" s="105"/>
      <c r="G72" s="105"/>
      <c r="H72" s="105"/>
      <c r="I72" s="106"/>
      <c r="K72" t="str">
        <f>IF(A72&gt;0,VLOOKUP(A72,טבלאות!$J:$K,2,0),"")</f>
        <v/>
      </c>
      <c r="L72" s="50" t="str">
        <f>IF(ISERROR(VLOOKUP(B72,טבלאות!$G:$H,2,0)),"",VLOOKUP(B72,טבלאות!$G:$H,2,0))</f>
        <v/>
      </c>
      <c r="M72" s="51" t="str">
        <f t="shared" si="1"/>
        <v/>
      </c>
    </row>
    <row r="73" spans="1:13">
      <c r="A73" s="105"/>
      <c r="B73" s="105"/>
      <c r="C73" s="105"/>
      <c r="D73" s="106"/>
      <c r="E73" s="105"/>
      <c r="F73" s="105"/>
      <c r="G73" s="105"/>
      <c r="H73" s="105"/>
      <c r="I73" s="106"/>
      <c r="K73" t="str">
        <f>IF(A73&gt;0,VLOOKUP(A73,טבלאות!$J:$K,2,0),"")</f>
        <v/>
      </c>
      <c r="L73" s="50" t="str">
        <f>IF(ISERROR(VLOOKUP(B73,טבלאות!$G:$H,2,0)),"",VLOOKUP(B73,טבלאות!$G:$H,2,0))</f>
        <v/>
      </c>
      <c r="M73" s="51" t="str">
        <f t="shared" si="1"/>
        <v/>
      </c>
    </row>
    <row r="74" spans="1:13">
      <c r="A74" s="105"/>
      <c r="B74" s="105"/>
      <c r="C74" s="105"/>
      <c r="D74" s="106"/>
      <c r="E74" s="105"/>
      <c r="F74" s="105"/>
      <c r="G74" s="105"/>
      <c r="H74" s="105"/>
      <c r="I74" s="106"/>
      <c r="K74" t="str">
        <f>IF(A74&gt;0,VLOOKUP(A74,טבלאות!$J:$K,2,0),"")</f>
        <v/>
      </c>
      <c r="L74" s="50" t="str">
        <f>IF(ISERROR(VLOOKUP(B74,טבלאות!$G:$H,2,0)),"",VLOOKUP(B74,טבלאות!$G:$H,2,0))</f>
        <v/>
      </c>
      <c r="M74" s="51" t="str">
        <f t="shared" si="1"/>
        <v/>
      </c>
    </row>
    <row r="75" spans="1:13">
      <c r="A75" s="105"/>
      <c r="B75" s="105"/>
      <c r="C75" s="105"/>
      <c r="D75" s="106"/>
      <c r="E75" s="105"/>
      <c r="F75" s="105"/>
      <c r="G75" s="105"/>
      <c r="H75" s="105"/>
      <c r="I75" s="106"/>
      <c r="K75" t="str">
        <f>IF(A75&gt;0,VLOOKUP(A75,טבלאות!$J:$K,2,0),"")</f>
        <v/>
      </c>
      <c r="L75" s="50" t="str">
        <f>IF(ISERROR(VLOOKUP(B75,טבלאות!$G:$H,2,0)),"",VLOOKUP(B75,טבלאות!$G:$H,2,0))</f>
        <v/>
      </c>
      <c r="M75" s="51" t="str">
        <f t="shared" si="1"/>
        <v/>
      </c>
    </row>
    <row r="76" spans="1:13">
      <c r="A76" s="105"/>
      <c r="B76" s="105"/>
      <c r="C76" s="105"/>
      <c r="D76" s="106"/>
      <c r="E76" s="105"/>
      <c r="F76" s="105"/>
      <c r="G76" s="105"/>
      <c r="H76" s="105"/>
      <c r="I76" s="106"/>
      <c r="K76" t="str">
        <f>IF(A76&gt;0,VLOOKUP(A76,טבלאות!$J:$K,2,0),"")</f>
        <v/>
      </c>
      <c r="L76" s="50" t="str">
        <f>IF(ISERROR(VLOOKUP(B76,טבלאות!$G:$H,2,0)),"",VLOOKUP(B76,טבלאות!$G:$H,2,0))</f>
        <v/>
      </c>
      <c r="M76" s="51" t="str">
        <f t="shared" si="1"/>
        <v/>
      </c>
    </row>
    <row r="77" spans="1:13">
      <c r="A77" s="105"/>
      <c r="B77" s="105"/>
      <c r="C77" s="105"/>
      <c r="D77" s="106"/>
      <c r="E77" s="105"/>
      <c r="F77" s="105"/>
      <c r="G77" s="105"/>
      <c r="H77" s="105"/>
      <c r="I77" s="106"/>
      <c r="K77" t="str">
        <f>IF(A77&gt;0,VLOOKUP(A77,טבלאות!$J:$K,2,0),"")</f>
        <v/>
      </c>
      <c r="L77" s="50" t="str">
        <f>IF(ISERROR(VLOOKUP(B77,טבלאות!$G:$H,2,0)),"",VLOOKUP(B77,טבלאות!$G:$H,2,0))</f>
        <v/>
      </c>
      <c r="M77" s="51" t="str">
        <f t="shared" si="1"/>
        <v/>
      </c>
    </row>
    <row r="78" spans="1:13">
      <c r="A78" s="105"/>
      <c r="B78" s="105"/>
      <c r="C78" s="105"/>
      <c r="D78" s="106"/>
      <c r="E78" s="105"/>
      <c r="F78" s="105"/>
      <c r="G78" s="105"/>
      <c r="H78" s="105"/>
      <c r="I78" s="106"/>
      <c r="K78" t="str">
        <f>IF(A78&gt;0,VLOOKUP(A78,טבלאות!$J:$K,2,0),"")</f>
        <v/>
      </c>
      <c r="L78" s="50" t="str">
        <f>IF(ISERROR(VLOOKUP(B78,טבלאות!$G:$H,2,0)),"",VLOOKUP(B78,טבלאות!$G:$H,2,0))</f>
        <v/>
      </c>
      <c r="M78" s="51" t="str">
        <f t="shared" si="1"/>
        <v/>
      </c>
    </row>
    <row r="79" spans="1:13">
      <c r="A79" s="105"/>
      <c r="B79" s="105"/>
      <c r="C79" s="105"/>
      <c r="D79" s="106"/>
      <c r="E79" s="105"/>
      <c r="F79" s="105"/>
      <c r="G79" s="105"/>
      <c r="H79" s="105"/>
      <c r="I79" s="106"/>
      <c r="K79" t="str">
        <f>IF(A79&gt;0,VLOOKUP(A79,טבלאות!$J:$K,2,0),"")</f>
        <v/>
      </c>
      <c r="L79" s="50" t="str">
        <f>IF(ISERROR(VLOOKUP(B79,טבלאות!$G:$H,2,0)),"",VLOOKUP(B79,טבלאות!$G:$H,2,0))</f>
        <v/>
      </c>
      <c r="M79" s="51" t="str">
        <f t="shared" si="1"/>
        <v/>
      </c>
    </row>
    <row r="80" spans="1:13">
      <c r="A80" s="105"/>
      <c r="B80" s="105"/>
      <c r="C80" s="105"/>
      <c r="D80" s="106"/>
      <c r="E80" s="105"/>
      <c r="F80" s="105"/>
      <c r="G80" s="105"/>
      <c r="H80" s="105"/>
      <c r="I80" s="106"/>
      <c r="K80" t="str">
        <f>IF(A80&gt;0,VLOOKUP(A80,טבלאות!$J:$K,2,0),"")</f>
        <v/>
      </c>
      <c r="L80" s="50" t="str">
        <f>IF(ISERROR(VLOOKUP(B80,טבלאות!$G:$H,2,0)),"",VLOOKUP(B80,טבלאות!$G:$H,2,0))</f>
        <v/>
      </c>
      <c r="M80" s="51" t="str">
        <f t="shared" si="1"/>
        <v/>
      </c>
    </row>
    <row r="81" spans="1:13">
      <c r="A81" s="105"/>
      <c r="B81" s="105"/>
      <c r="C81" s="105"/>
      <c r="D81" s="106"/>
      <c r="E81" s="105"/>
      <c r="F81" s="105"/>
      <c r="G81" s="105"/>
      <c r="H81" s="105"/>
      <c r="I81" s="106"/>
      <c r="K81" t="str">
        <f>IF(A81&gt;0,VLOOKUP(A81,טבלאות!$J:$K,2,0),"")</f>
        <v/>
      </c>
      <c r="L81" s="50" t="str">
        <f>IF(ISERROR(VLOOKUP(B81,טבלאות!$G:$H,2,0)),"",VLOOKUP(B81,טבלאות!$G:$H,2,0))</f>
        <v/>
      </c>
      <c r="M81" s="51" t="str">
        <f t="shared" si="1"/>
        <v/>
      </c>
    </row>
    <row r="82" spans="1:13">
      <c r="A82" s="105"/>
      <c r="B82" s="105"/>
      <c r="C82" s="105"/>
      <c r="D82" s="106"/>
      <c r="E82" s="105"/>
      <c r="F82" s="105"/>
      <c r="G82" s="105"/>
      <c r="H82" s="105"/>
      <c r="I82" s="106"/>
      <c r="K82" t="str">
        <f>IF(A82&gt;0,VLOOKUP(A82,טבלאות!$J:$K,2,0),"")</f>
        <v/>
      </c>
      <c r="L82" s="50" t="str">
        <f>IF(ISERROR(VLOOKUP(B82,טבלאות!$G:$H,2,0)),"",VLOOKUP(B82,טבלאות!$G:$H,2,0))</f>
        <v/>
      </c>
      <c r="M82" s="51" t="str">
        <f t="shared" si="1"/>
        <v/>
      </c>
    </row>
    <row r="83" spans="1:13">
      <c r="A83" s="105"/>
      <c r="B83" s="105"/>
      <c r="C83" s="112"/>
      <c r="D83" s="106"/>
      <c r="H83" s="105"/>
      <c r="I83" s="131"/>
      <c r="K83" t="str">
        <f>IF(A83&gt;0,VLOOKUP(A83,טבלאות!$J:$K,2,0),"")</f>
        <v/>
      </c>
      <c r="L83" s="50" t="str">
        <f>IF(ISERROR(VLOOKUP(B83,טבלאות!$G:$H,2,0)),"",VLOOKUP(B83,טבלאות!$G:$H,2,0))</f>
        <v/>
      </c>
      <c r="M83" s="51" t="str">
        <f t="shared" si="1"/>
        <v/>
      </c>
    </row>
    <row r="84" spans="1:13">
      <c r="A84" s="105"/>
      <c r="B84" s="105"/>
      <c r="C84" s="112"/>
      <c r="D84" s="106"/>
      <c r="H84" s="105"/>
      <c r="I84" s="131"/>
      <c r="K84" t="str">
        <f>IF(A84&gt;0,VLOOKUP(A84,טבלאות!$J:$K,2,0),"")</f>
        <v/>
      </c>
      <c r="L84" s="50" t="str">
        <f>IF(ISERROR(VLOOKUP(B84,טבלאות!$G:$H,2,0)),"",VLOOKUP(B84,טבלאות!$G:$H,2,0))</f>
        <v/>
      </c>
      <c r="M84" s="51" t="str">
        <f t="shared" si="1"/>
        <v/>
      </c>
    </row>
    <row r="85" spans="1:13">
      <c r="A85" s="105"/>
      <c r="B85" s="105"/>
      <c r="C85" s="112"/>
      <c r="D85" s="106"/>
      <c r="H85" s="105"/>
      <c r="I85" s="131"/>
      <c r="K85" t="str">
        <f>IF(A85&gt;0,VLOOKUP(A85,טבלאות!$J:$K,2,0),"")</f>
        <v/>
      </c>
      <c r="L85" s="50" t="str">
        <f>IF(ISERROR(VLOOKUP(B85,טבלאות!$G:$H,2,0)),"",VLOOKUP(B85,טבלאות!$G:$H,2,0))</f>
        <v/>
      </c>
      <c r="M85" s="51" t="str">
        <f t="shared" si="1"/>
        <v/>
      </c>
    </row>
    <row r="86" spans="1:13">
      <c r="A86" s="105"/>
      <c r="B86" s="105"/>
      <c r="C86" s="112"/>
      <c r="D86" s="106"/>
      <c r="H86" s="105"/>
      <c r="K86" t="str">
        <f>IF(A86&gt;0,VLOOKUP(A86,טבלאות!$J:$K,2,0),"")</f>
        <v/>
      </c>
      <c r="L86" s="50" t="str">
        <f>IF(ISERROR(VLOOKUP(B86,טבלאות!$G:$H,2,0)),"",VLOOKUP(B86,טבלאות!$G:$H,2,0))</f>
        <v/>
      </c>
      <c r="M86" s="51" t="str">
        <f t="shared" si="1"/>
        <v/>
      </c>
    </row>
    <row r="87" spans="1:13">
      <c r="A87" s="105"/>
      <c r="B87" s="105"/>
      <c r="C87" s="112"/>
      <c r="D87" s="106"/>
      <c r="H87" s="105"/>
      <c r="I87" s="131"/>
      <c r="K87" t="str">
        <f>IF(A87&gt;0,VLOOKUP(A87,טבלאות!$J:$K,2,0),"")</f>
        <v/>
      </c>
      <c r="L87" s="50" t="str">
        <f>IF(ISERROR(VLOOKUP(B87,טבלאות!$G:$H,2,0)),"",VLOOKUP(B87,טבלאות!$G:$H,2,0))</f>
        <v/>
      </c>
      <c r="M87" s="51" t="str">
        <f t="shared" si="1"/>
        <v/>
      </c>
    </row>
    <row r="88" spans="1:13">
      <c r="A88" s="105"/>
      <c r="B88" s="105"/>
      <c r="C88" s="112"/>
      <c r="D88" s="106"/>
      <c r="H88" s="105"/>
      <c r="I88" s="131"/>
      <c r="K88" t="str">
        <f>IF(A88&gt;0,VLOOKUP(A88,טבלאות!$J:$K,2,0),"")</f>
        <v/>
      </c>
      <c r="L88" s="50" t="str">
        <f>IF(ISERROR(VLOOKUP(B88,טבלאות!$G:$H,2,0)),"",VLOOKUP(B88,טבלאות!$G:$H,2,0))</f>
        <v/>
      </c>
      <c r="M88" s="51" t="str">
        <f t="shared" si="1"/>
        <v/>
      </c>
    </row>
    <row r="89" spans="1:13">
      <c r="K89" t="str">
        <f>IF(A89&gt;0,VLOOKUP(A89,טבלאות!$J:$K,2,0),"")</f>
        <v/>
      </c>
      <c r="L89" s="50" t="str">
        <f>IF(ISERROR(VLOOKUP(B89,טבלאות!$G:$H,2,0)),"",VLOOKUP(B89,טבלאות!$G:$H,2,0))</f>
        <v/>
      </c>
      <c r="M89" s="51" t="str">
        <f t="shared" si="1"/>
        <v/>
      </c>
    </row>
    <row r="90" spans="1:13">
      <c r="K90" t="str">
        <f>IF(A90&gt;0,VLOOKUP(A90,טבלאות!$J:$K,2,0),"")</f>
        <v/>
      </c>
      <c r="L90" s="50" t="str">
        <f>IF(ISERROR(VLOOKUP(B90,טבלאות!$G:$H,2,0)),"",VLOOKUP(B90,טבלאות!$G:$H,2,0))</f>
        <v/>
      </c>
      <c r="M90" s="51" t="str">
        <f t="shared" si="1"/>
        <v/>
      </c>
    </row>
    <row r="91" spans="1:13">
      <c r="K91" t="str">
        <f>IF(A91&gt;0,VLOOKUP(A91,טבלאות!$J:$K,2,0),"")</f>
        <v/>
      </c>
      <c r="L91" s="50" t="str">
        <f>IF(ISERROR(VLOOKUP(B91,טבלאות!$G:$H,2,0)),"",VLOOKUP(B91,טבלאות!$G:$H,2,0))</f>
        <v/>
      </c>
      <c r="M91" s="51" t="str">
        <f t="shared" si="1"/>
        <v/>
      </c>
    </row>
    <row r="92" spans="1:13">
      <c r="K92" t="str">
        <f>IF(A92&gt;0,VLOOKUP(A92,טבלאות!$J:$K,2,0),"")</f>
        <v/>
      </c>
      <c r="L92" s="50" t="str">
        <f>IF(ISERROR(VLOOKUP(B92,טבלאות!$G:$H,2,0)),"",VLOOKUP(B92,טבלאות!$G:$H,2,0))</f>
        <v/>
      </c>
      <c r="M92" s="51" t="str">
        <f t="shared" si="1"/>
        <v/>
      </c>
    </row>
    <row r="93" spans="1:13">
      <c r="K93" t="str">
        <f>IF(A93&gt;0,VLOOKUP(A93,טבלאות!$J:$K,2,0),"")</f>
        <v/>
      </c>
      <c r="L93" s="50" t="str">
        <f>IF(ISERROR(VLOOKUP(B93,טבלאות!$G:$H,2,0)),"",VLOOKUP(B93,טבלאות!$G:$H,2,0))</f>
        <v/>
      </c>
      <c r="M93" s="51" t="str">
        <f t="shared" si="1"/>
        <v/>
      </c>
    </row>
    <row r="94" spans="1:13">
      <c r="K94" t="str">
        <f>IF(A94&gt;0,VLOOKUP(A94,טבלאות!$J:$K,2,0),"")</f>
        <v/>
      </c>
      <c r="L94" s="50" t="str">
        <f>IF(ISERROR(VLOOKUP(B94,טבלאות!$G:$H,2,0)),"",VLOOKUP(B94,טבלאות!$G:$H,2,0))</f>
        <v/>
      </c>
      <c r="M94" s="51" t="str">
        <f t="shared" si="1"/>
        <v/>
      </c>
    </row>
    <row r="95" spans="1:13">
      <c r="K95" t="str">
        <f>IF(A95&gt;0,VLOOKUP(A95,טבלאות!$J:$K,2,0),"")</f>
        <v/>
      </c>
      <c r="L95" s="50" t="str">
        <f>IF(ISERROR(VLOOKUP(B95,טבלאות!$G:$H,2,0)),"",VLOOKUP(B95,טבלאות!$G:$H,2,0))</f>
        <v/>
      </c>
      <c r="M95" s="51" t="str">
        <f t="shared" si="1"/>
        <v/>
      </c>
    </row>
    <row r="96" spans="1:13">
      <c r="K96" t="str">
        <f>IF(A96&gt;0,VLOOKUP(A96,טבלאות!$J:$K,2,0),"")</f>
        <v/>
      </c>
      <c r="L96" s="50" t="str">
        <f>IF(ISERROR(VLOOKUP(B96,טבלאות!$G:$H,2,0)),"",VLOOKUP(B96,טבלאות!$G:$H,2,0))</f>
        <v/>
      </c>
      <c r="M96" s="51" t="str">
        <f t="shared" si="1"/>
        <v/>
      </c>
    </row>
    <row r="97" spans="12:13">
      <c r="L97" s="50" t="str">
        <f>IF(ISERROR(VLOOKUP(B97,טבלאות!$G:$H,2,0)),"",VLOOKUP(B97,טבלאות!$G:$H,2,0))</f>
        <v/>
      </c>
      <c r="M97" s="51" t="str">
        <f t="shared" si="1"/>
        <v/>
      </c>
    </row>
    <row r="98" spans="12:13">
      <c r="L98" s="50" t="str">
        <f>IF(ISERROR(VLOOKUP(B98,טבלאות!$G:$H,2,0)),"",VLOOKUP(B98,טבלאות!$G:$H,2,0))</f>
        <v/>
      </c>
      <c r="M98" s="51" t="str">
        <f t="shared" si="1"/>
        <v/>
      </c>
    </row>
    <row r="99" spans="12:13">
      <c r="L99" s="50" t="str">
        <f>IF(ISERROR(VLOOKUP(B99,טבלאות!$G:$H,2,0)),"",VLOOKUP(B99,טבלאות!$G:$H,2,0))</f>
        <v/>
      </c>
      <c r="M99" s="51" t="str">
        <f t="shared" si="1"/>
        <v/>
      </c>
    </row>
    <row r="100" spans="12:13">
      <c r="L100" s="50" t="str">
        <f>IF(ISERROR(VLOOKUP(B100,טבלאות!$G:$H,2,0)),"",VLOOKUP(B100,טבלאות!$G:$H,2,0))</f>
        <v/>
      </c>
      <c r="M100" s="51" t="str">
        <f t="shared" si="1"/>
        <v/>
      </c>
    </row>
    <row r="101" spans="12:13">
      <c r="L101" s="50" t="str">
        <f>IF(ISERROR(VLOOKUP(B101,טבלאות!$G:$H,2,0)),"",VLOOKUP(B101,טבלאות!$G:$H,2,0))</f>
        <v/>
      </c>
      <c r="M101" s="51" t="str">
        <f t="shared" si="1"/>
        <v/>
      </c>
    </row>
    <row r="102" spans="12:13">
      <c r="L102" s="50" t="str">
        <f>IF(ISERROR(VLOOKUP(B102,טבלאות!$G:$H,2,0)),"",VLOOKUP(B102,טבלאות!$G:$H,2,0))</f>
        <v/>
      </c>
      <c r="M102" s="51" t="str">
        <f t="shared" si="1"/>
        <v/>
      </c>
    </row>
    <row r="103" spans="12:13">
      <c r="L103" s="50" t="str">
        <f>IF(ISERROR(VLOOKUP(B103,טבלאות!$G:$H,2,0)),"",VLOOKUP(B103,טבלאות!$G:$H,2,0))</f>
        <v/>
      </c>
      <c r="M103" s="51" t="str">
        <f t="shared" si="1"/>
        <v/>
      </c>
    </row>
    <row r="104" spans="12:13">
      <c r="L104" s="50" t="str">
        <f>IF(ISERROR(VLOOKUP(B104,טבלאות!$G:$H,2,0)),"",VLOOKUP(B104,טבלאות!$G:$H,2,0))</f>
        <v/>
      </c>
      <c r="M104" s="51" t="str">
        <f t="shared" si="1"/>
        <v/>
      </c>
    </row>
    <row r="105" spans="12:13">
      <c r="L105" s="50" t="str">
        <f>IF(ISERROR(VLOOKUP(B105,טבלאות!$G:$H,2,0)),"",VLOOKUP(B105,טבלאות!$G:$H,2,0))</f>
        <v/>
      </c>
      <c r="M105" s="51" t="str">
        <f t="shared" si="1"/>
        <v/>
      </c>
    </row>
    <row r="106" spans="12:13">
      <c r="L106" s="50" t="str">
        <f>IF(ISERROR(VLOOKUP(B106,טבלאות!$G:$H,2,0)),"",VLOOKUP(B106,טבלאות!$G:$H,2,0))</f>
        <v/>
      </c>
      <c r="M106" s="51" t="str">
        <f t="shared" si="1"/>
        <v/>
      </c>
    </row>
    <row r="107" spans="12:13">
      <c r="L107" s="50" t="str">
        <f>IF(ISERROR(VLOOKUP(B107,טבלאות!$G:$H,2,0)),"",VLOOKUP(B107,טבלאות!$G:$H,2,0))</f>
        <v/>
      </c>
      <c r="M107" s="51" t="str">
        <f t="shared" si="1"/>
        <v/>
      </c>
    </row>
    <row r="108" spans="12:13">
      <c r="L108" s="50" t="str">
        <f>IF(ISERROR(VLOOKUP(B108,טבלאות!$G:$H,2,0)),"",VLOOKUP(B108,טבלאות!$G:$H,2,0))</f>
        <v/>
      </c>
      <c r="M108" s="51" t="str">
        <f t="shared" si="1"/>
        <v/>
      </c>
    </row>
    <row r="109" spans="12:13">
      <c r="L109" s="50" t="str">
        <f>IF(ISERROR(VLOOKUP(B109,טבלאות!$G:$H,2,0)),"",VLOOKUP(B109,טבלאות!$G:$H,2,0))</f>
        <v/>
      </c>
      <c r="M109" s="51" t="str">
        <f t="shared" si="1"/>
        <v/>
      </c>
    </row>
    <row r="110" spans="12:13">
      <c r="L110" s="50" t="str">
        <f>IF(ISERROR(VLOOKUP(B110,טבלאות!$G:$H,2,0)),"",VLOOKUP(B110,טבלאות!$G:$H,2,0))</f>
        <v/>
      </c>
      <c r="M110" s="51" t="str">
        <f t="shared" si="1"/>
        <v/>
      </c>
    </row>
    <row r="111" spans="12:13">
      <c r="L111" s="50" t="str">
        <f>IF(ISERROR(VLOOKUP(B111,טבלאות!$G:$H,2,0)),"",VLOOKUP(B111,טבלאות!$G:$H,2,0))</f>
        <v/>
      </c>
      <c r="M111" s="51" t="str">
        <f t="shared" si="1"/>
        <v/>
      </c>
    </row>
    <row r="112" spans="12:13">
      <c r="L112" s="50" t="str">
        <f>IF(ISERROR(VLOOKUP(B112,טבלאות!$G:$H,2,0)),"",VLOOKUP(B112,טבלאות!$G:$H,2,0))</f>
        <v/>
      </c>
      <c r="M112" s="51" t="str">
        <f t="shared" si="1"/>
        <v/>
      </c>
    </row>
    <row r="113" spans="12:13">
      <c r="L113" s="50" t="str">
        <f>IF(ISERROR(VLOOKUP(B113,טבלאות!$G:$H,2,0)),"",VLOOKUP(B113,טבלאות!$G:$H,2,0))</f>
        <v/>
      </c>
      <c r="M113" s="51" t="str">
        <f t="shared" si="1"/>
        <v/>
      </c>
    </row>
  </sheetData>
  <autoFilter ref="A1:M113" xr:uid="{00000000-0009-0000-0000-00000F000000}"/>
  <conditionalFormatting sqref="L2:L113">
    <cfRule type="cellIs" dxfId="0" priority="1" operator="equal">
      <formula>""</formula>
    </cfRule>
  </conditionalFormatting>
  <dataValidations count="2">
    <dataValidation type="list" allowBlank="1" showInputMessage="1" showErrorMessage="1" sqref="L2:L113" xr:uid="{3FD4190B-544B-4BB7-B641-9776A552656A}">
      <formula1>סוגי_הוצאות</formula1>
    </dataValidation>
    <dataValidation type="list" allowBlank="1" showInputMessage="1" showErrorMessage="1" sqref="K2:K113" xr:uid="{7AA9C795-0022-4E96-AF24-797DE00DB1B7}">
      <formula1>סוג_כרטיס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390"/>
  <sheetViews>
    <sheetView rightToLeft="1" topLeftCell="A1295" workbookViewId="0">
      <selection activeCell="H1312" sqref="H1312"/>
    </sheetView>
  </sheetViews>
  <sheetFormatPr defaultRowHeight="15"/>
  <cols>
    <col min="1" max="1" width="18.140625" bestFit="1" customWidth="1"/>
    <col min="3" max="3" width="15.140625" bestFit="1" customWidth="1"/>
    <col min="5" max="5" width="7.85546875" bestFit="1" customWidth="1"/>
    <col min="7" max="7" width="28.7109375" style="61" bestFit="1" customWidth="1"/>
    <col min="8" max="8" width="18.140625" bestFit="1" customWidth="1"/>
    <col min="10" max="10" width="12.5703125" bestFit="1" customWidth="1"/>
    <col min="11" max="11" width="11" bestFit="1" customWidth="1"/>
  </cols>
  <sheetData>
    <row r="1" spans="1:11">
      <c r="A1" t="s">
        <v>14</v>
      </c>
      <c r="C1" t="s">
        <v>15</v>
      </c>
      <c r="E1" t="s">
        <v>63</v>
      </c>
      <c r="G1" s="61" t="s">
        <v>123</v>
      </c>
      <c r="H1" t="s">
        <v>37</v>
      </c>
      <c r="J1" t="s">
        <v>627</v>
      </c>
      <c r="K1" t="s">
        <v>617</v>
      </c>
    </row>
    <row r="3" spans="1:11">
      <c r="A3" t="s">
        <v>18</v>
      </c>
      <c r="C3" t="s">
        <v>54</v>
      </c>
      <c r="E3" t="s">
        <v>41</v>
      </c>
      <c r="G3" s="61" t="s">
        <v>82</v>
      </c>
      <c r="H3" t="s">
        <v>32</v>
      </c>
      <c r="J3" s="69" t="s">
        <v>619</v>
      </c>
      <c r="K3" t="s">
        <v>614</v>
      </c>
    </row>
    <row r="4" spans="1:11">
      <c r="A4" t="s">
        <v>19</v>
      </c>
      <c r="C4" t="s">
        <v>16</v>
      </c>
      <c r="E4" t="s">
        <v>42</v>
      </c>
      <c r="G4" s="61" t="s">
        <v>68</v>
      </c>
      <c r="H4" t="s">
        <v>22</v>
      </c>
      <c r="J4" s="69" t="s">
        <v>620</v>
      </c>
      <c r="K4" t="s">
        <v>615</v>
      </c>
    </row>
    <row r="5" spans="1:11">
      <c r="A5" t="s">
        <v>20</v>
      </c>
      <c r="C5" t="s">
        <v>85</v>
      </c>
      <c r="E5" t="s">
        <v>43</v>
      </c>
      <c r="G5" s="61" t="s">
        <v>97</v>
      </c>
      <c r="H5" t="s">
        <v>35</v>
      </c>
      <c r="J5" t="s">
        <v>626</v>
      </c>
      <c r="K5" t="s">
        <v>616</v>
      </c>
    </row>
    <row r="6" spans="1:11">
      <c r="A6" t="s">
        <v>21</v>
      </c>
      <c r="C6" t="s">
        <v>88</v>
      </c>
      <c r="E6" t="s">
        <v>44</v>
      </c>
      <c r="G6" s="61" t="s">
        <v>9</v>
      </c>
      <c r="H6" t="s">
        <v>24</v>
      </c>
      <c r="J6" t="s">
        <v>665</v>
      </c>
      <c r="K6" t="s">
        <v>69</v>
      </c>
    </row>
    <row r="7" spans="1:11">
      <c r="A7" t="s">
        <v>22</v>
      </c>
      <c r="C7" t="s">
        <v>17</v>
      </c>
      <c r="E7" t="s">
        <v>45</v>
      </c>
      <c r="G7" s="61" t="s">
        <v>89</v>
      </c>
      <c r="H7" t="s">
        <v>27</v>
      </c>
      <c r="J7" t="s">
        <v>697</v>
      </c>
      <c r="K7" t="s">
        <v>698</v>
      </c>
    </row>
    <row r="8" spans="1:11">
      <c r="A8" t="s">
        <v>23</v>
      </c>
      <c r="E8" t="s">
        <v>46</v>
      </c>
      <c r="G8" s="61" t="s">
        <v>86</v>
      </c>
      <c r="H8" t="s">
        <v>25</v>
      </c>
      <c r="J8" s="69" t="s">
        <v>764</v>
      </c>
      <c r="K8" t="s">
        <v>615</v>
      </c>
    </row>
    <row r="9" spans="1:11">
      <c r="A9" t="s">
        <v>24</v>
      </c>
      <c r="E9" t="s">
        <v>47</v>
      </c>
      <c r="G9" s="61" t="s">
        <v>124</v>
      </c>
      <c r="H9" t="s">
        <v>22</v>
      </c>
      <c r="J9" s="69" t="s">
        <v>808</v>
      </c>
      <c r="K9" t="s">
        <v>615</v>
      </c>
    </row>
    <row r="10" spans="1:11">
      <c r="A10" t="s">
        <v>25</v>
      </c>
      <c r="E10" t="s">
        <v>49</v>
      </c>
      <c r="G10" s="61" t="s">
        <v>76</v>
      </c>
      <c r="H10" t="s">
        <v>24</v>
      </c>
      <c r="J10" t="s">
        <v>1253</v>
      </c>
      <c r="K10" t="s">
        <v>698</v>
      </c>
    </row>
    <row r="11" spans="1:11">
      <c r="A11" t="s">
        <v>26</v>
      </c>
      <c r="E11" t="s">
        <v>48</v>
      </c>
      <c r="G11" s="61" t="s">
        <v>128</v>
      </c>
      <c r="H11" t="s">
        <v>28</v>
      </c>
      <c r="J11" t="s">
        <v>1346</v>
      </c>
      <c r="K11" t="s">
        <v>1347</v>
      </c>
    </row>
    <row r="12" spans="1:11">
      <c r="A12" t="s">
        <v>27</v>
      </c>
      <c r="E12" t="s">
        <v>50</v>
      </c>
      <c r="G12" s="61" t="s">
        <v>129</v>
      </c>
      <c r="H12" t="s">
        <v>18</v>
      </c>
      <c r="J12" s="105" t="s">
        <v>1355</v>
      </c>
      <c r="K12" t="s">
        <v>614</v>
      </c>
    </row>
    <row r="13" spans="1:11">
      <c r="A13" t="s">
        <v>28</v>
      </c>
      <c r="E13" t="s">
        <v>51</v>
      </c>
      <c r="G13" s="61" t="s">
        <v>81</v>
      </c>
      <c r="H13" t="s">
        <v>24</v>
      </c>
      <c r="J13">
        <v>9973</v>
      </c>
      <c r="K13" t="s">
        <v>1539</v>
      </c>
    </row>
    <row r="14" spans="1:11">
      <c r="A14" t="s">
        <v>29</v>
      </c>
      <c r="E14" t="s">
        <v>52</v>
      </c>
      <c r="G14" s="61" t="s">
        <v>106</v>
      </c>
      <c r="H14" t="s">
        <v>25</v>
      </c>
    </row>
    <row r="15" spans="1:11">
      <c r="A15" t="s">
        <v>30</v>
      </c>
      <c r="G15" s="61" t="s">
        <v>67</v>
      </c>
      <c r="H15" t="s">
        <v>22</v>
      </c>
    </row>
    <row r="16" spans="1:11">
      <c r="A16" t="s">
        <v>5</v>
      </c>
      <c r="G16" s="61" t="s">
        <v>130</v>
      </c>
      <c r="H16" t="s">
        <v>26</v>
      </c>
    </row>
    <row r="17" spans="1:8">
      <c r="A17" t="s">
        <v>31</v>
      </c>
      <c r="G17" s="61" t="s">
        <v>72</v>
      </c>
      <c r="H17" t="s">
        <v>22</v>
      </c>
    </row>
    <row r="18" spans="1:8">
      <c r="A18" t="s">
        <v>32</v>
      </c>
      <c r="G18" s="61" t="s">
        <v>119</v>
      </c>
      <c r="H18" t="s">
        <v>23</v>
      </c>
    </row>
    <row r="19" spans="1:8">
      <c r="A19" t="s">
        <v>33</v>
      </c>
      <c r="G19" s="61" t="s">
        <v>105</v>
      </c>
      <c r="H19" t="s">
        <v>32</v>
      </c>
    </row>
    <row r="20" spans="1:8">
      <c r="A20" t="s">
        <v>39</v>
      </c>
      <c r="G20" s="61" t="s">
        <v>8</v>
      </c>
      <c r="H20" t="s">
        <v>28</v>
      </c>
    </row>
    <row r="21" spans="1:8">
      <c r="A21" t="s">
        <v>34</v>
      </c>
      <c r="G21" s="61" t="s">
        <v>90</v>
      </c>
      <c r="H21" t="s">
        <v>22</v>
      </c>
    </row>
    <row r="22" spans="1:8">
      <c r="A22" t="s">
        <v>35</v>
      </c>
      <c r="G22" s="61" t="s">
        <v>131</v>
      </c>
      <c r="H22" t="s">
        <v>32</v>
      </c>
    </row>
    <row r="23" spans="1:8">
      <c r="A23" t="s">
        <v>84</v>
      </c>
      <c r="G23" s="61" t="s">
        <v>71</v>
      </c>
      <c r="H23" t="s">
        <v>28</v>
      </c>
    </row>
    <row r="24" spans="1:8">
      <c r="A24" t="s">
        <v>611</v>
      </c>
      <c r="G24" s="61" t="s">
        <v>65</v>
      </c>
      <c r="H24" t="s">
        <v>25</v>
      </c>
    </row>
    <row r="25" spans="1:8">
      <c r="A25" t="s">
        <v>612</v>
      </c>
      <c r="G25" s="61" t="s">
        <v>100</v>
      </c>
      <c r="H25" t="s">
        <v>25</v>
      </c>
    </row>
    <row r="26" spans="1:8">
      <c r="G26" s="61" t="s">
        <v>78</v>
      </c>
      <c r="H26" t="s">
        <v>28</v>
      </c>
    </row>
    <row r="27" spans="1:8">
      <c r="G27" s="61" t="s">
        <v>132</v>
      </c>
      <c r="H27" t="s">
        <v>18</v>
      </c>
    </row>
    <row r="28" spans="1:8">
      <c r="G28" s="61" t="s">
        <v>133</v>
      </c>
      <c r="H28" t="s">
        <v>24</v>
      </c>
    </row>
    <row r="29" spans="1:8">
      <c r="G29" s="61" t="s">
        <v>66</v>
      </c>
      <c r="H29" t="s">
        <v>25</v>
      </c>
    </row>
    <row r="30" spans="1:8">
      <c r="G30" s="61" t="s">
        <v>134</v>
      </c>
      <c r="H30" t="s">
        <v>28</v>
      </c>
    </row>
    <row r="31" spans="1:8">
      <c r="G31" s="61" t="s">
        <v>135</v>
      </c>
      <c r="H31" t="s">
        <v>28</v>
      </c>
    </row>
    <row r="32" spans="1:8">
      <c r="G32" s="61" t="s">
        <v>116</v>
      </c>
      <c r="H32" t="s">
        <v>26</v>
      </c>
    </row>
    <row r="33" spans="7:8">
      <c r="G33" s="61" t="s">
        <v>136</v>
      </c>
      <c r="H33" t="s">
        <v>18</v>
      </c>
    </row>
    <row r="34" spans="7:8">
      <c r="G34" s="61" t="s">
        <v>137</v>
      </c>
      <c r="H34" t="s">
        <v>28</v>
      </c>
    </row>
    <row r="35" spans="7:8">
      <c r="G35" s="61" t="s">
        <v>138</v>
      </c>
      <c r="H35" t="s">
        <v>35</v>
      </c>
    </row>
    <row r="36" spans="7:8">
      <c r="G36" s="61" t="s">
        <v>139</v>
      </c>
      <c r="H36" t="s">
        <v>22</v>
      </c>
    </row>
    <row r="37" spans="7:8">
      <c r="G37" s="61" t="s">
        <v>79</v>
      </c>
      <c r="H37" t="s">
        <v>32</v>
      </c>
    </row>
    <row r="38" spans="7:8">
      <c r="G38" s="61" t="s">
        <v>103</v>
      </c>
      <c r="H38" t="s">
        <v>32</v>
      </c>
    </row>
    <row r="39" spans="7:8">
      <c r="G39" s="61" t="s">
        <v>77</v>
      </c>
      <c r="H39" t="s">
        <v>26</v>
      </c>
    </row>
    <row r="40" spans="7:8">
      <c r="G40" s="61" t="s">
        <v>140</v>
      </c>
      <c r="H40" t="s">
        <v>30</v>
      </c>
    </row>
    <row r="41" spans="7:8">
      <c r="G41" s="61" t="s">
        <v>141</v>
      </c>
      <c r="H41" t="s">
        <v>30</v>
      </c>
    </row>
    <row r="42" spans="7:8">
      <c r="G42" s="61" t="s">
        <v>115</v>
      </c>
      <c r="H42" t="s">
        <v>35</v>
      </c>
    </row>
    <row r="43" spans="7:8">
      <c r="G43" s="61" t="s">
        <v>108</v>
      </c>
      <c r="H43" t="s">
        <v>22</v>
      </c>
    </row>
    <row r="44" spans="7:8">
      <c r="G44" s="61" t="s">
        <v>109</v>
      </c>
      <c r="H44" t="s">
        <v>30</v>
      </c>
    </row>
    <row r="45" spans="7:8">
      <c r="G45" s="61" t="s">
        <v>110</v>
      </c>
      <c r="H45" t="s">
        <v>30</v>
      </c>
    </row>
    <row r="46" spans="7:8">
      <c r="G46" s="61" t="s">
        <v>127</v>
      </c>
      <c r="H46" t="s">
        <v>18</v>
      </c>
    </row>
    <row r="47" spans="7:8">
      <c r="G47" s="61" t="s">
        <v>142</v>
      </c>
      <c r="H47" t="s">
        <v>18</v>
      </c>
    </row>
    <row r="48" spans="7:8">
      <c r="G48" s="61" t="s">
        <v>143</v>
      </c>
      <c r="H48" t="s">
        <v>24</v>
      </c>
    </row>
    <row r="49" spans="7:8">
      <c r="G49" s="61" t="s">
        <v>144</v>
      </c>
      <c r="H49" t="s">
        <v>24</v>
      </c>
    </row>
    <row r="50" spans="7:8">
      <c r="G50" s="61" t="s">
        <v>87</v>
      </c>
      <c r="H50" t="s">
        <v>28</v>
      </c>
    </row>
    <row r="51" spans="7:8">
      <c r="G51" s="61" t="s">
        <v>145</v>
      </c>
      <c r="H51" t="s">
        <v>23</v>
      </c>
    </row>
    <row r="52" spans="7:8">
      <c r="G52" s="61" t="s">
        <v>146</v>
      </c>
      <c r="H52" t="s">
        <v>28</v>
      </c>
    </row>
    <row r="53" spans="7:8">
      <c r="G53" s="61" t="s">
        <v>147</v>
      </c>
      <c r="H53" t="s">
        <v>28</v>
      </c>
    </row>
    <row r="54" spans="7:8">
      <c r="G54" s="61" t="s">
        <v>148</v>
      </c>
      <c r="H54" t="s">
        <v>19</v>
      </c>
    </row>
    <row r="55" spans="7:8">
      <c r="G55" s="61" t="s">
        <v>149</v>
      </c>
      <c r="H55" t="s">
        <v>26</v>
      </c>
    </row>
    <row r="56" spans="7:8">
      <c r="G56" s="61" t="s">
        <v>99</v>
      </c>
      <c r="H56" t="s">
        <v>24</v>
      </c>
    </row>
    <row r="57" spans="7:8">
      <c r="G57" s="61" t="s">
        <v>150</v>
      </c>
      <c r="H57" t="s">
        <v>19</v>
      </c>
    </row>
    <row r="58" spans="7:8">
      <c r="G58" s="61" t="s">
        <v>111</v>
      </c>
      <c r="H58" t="s">
        <v>19</v>
      </c>
    </row>
    <row r="59" spans="7:8">
      <c r="G59" s="61" t="s">
        <v>80</v>
      </c>
      <c r="H59" t="s">
        <v>32</v>
      </c>
    </row>
    <row r="60" spans="7:8">
      <c r="G60" s="61" t="s">
        <v>95</v>
      </c>
      <c r="H60" t="s">
        <v>24</v>
      </c>
    </row>
    <row r="61" spans="7:8">
      <c r="G61" s="61" t="s">
        <v>151</v>
      </c>
      <c r="H61" t="s">
        <v>32</v>
      </c>
    </row>
    <row r="62" spans="7:8">
      <c r="G62" s="61" t="s">
        <v>152</v>
      </c>
      <c r="H62" t="s">
        <v>18</v>
      </c>
    </row>
    <row r="63" spans="7:8">
      <c r="G63" s="61" t="s">
        <v>153</v>
      </c>
      <c r="H63" t="s">
        <v>39</v>
      </c>
    </row>
    <row r="64" spans="7:8">
      <c r="G64" s="61" t="s">
        <v>118</v>
      </c>
      <c r="H64" t="s">
        <v>26</v>
      </c>
    </row>
    <row r="65" spans="7:8">
      <c r="G65" s="61" t="s">
        <v>99</v>
      </c>
      <c r="H65" t="s">
        <v>24</v>
      </c>
    </row>
    <row r="66" spans="7:8">
      <c r="G66" s="61" t="s">
        <v>154</v>
      </c>
      <c r="H66" t="s">
        <v>23</v>
      </c>
    </row>
    <row r="67" spans="7:8">
      <c r="G67" s="61" t="s">
        <v>122</v>
      </c>
      <c r="H67" t="s">
        <v>22</v>
      </c>
    </row>
    <row r="68" spans="7:8">
      <c r="G68" s="61" t="s">
        <v>121</v>
      </c>
      <c r="H68" t="s">
        <v>22</v>
      </c>
    </row>
    <row r="69" spans="7:8">
      <c r="G69" s="61" t="s">
        <v>127</v>
      </c>
      <c r="H69" t="s">
        <v>18</v>
      </c>
    </row>
    <row r="70" spans="7:8">
      <c r="G70" s="61" t="s">
        <v>156</v>
      </c>
      <c r="H70" t="s">
        <v>22</v>
      </c>
    </row>
    <row r="71" spans="7:8">
      <c r="G71" s="61" t="s">
        <v>157</v>
      </c>
      <c r="H71" t="s">
        <v>22</v>
      </c>
    </row>
    <row r="72" spans="7:8">
      <c r="G72" s="61" t="s">
        <v>70</v>
      </c>
      <c r="H72" t="s">
        <v>22</v>
      </c>
    </row>
    <row r="73" spans="7:8">
      <c r="G73" s="61" t="s">
        <v>158</v>
      </c>
      <c r="H73" t="s">
        <v>32</v>
      </c>
    </row>
    <row r="74" spans="7:8">
      <c r="G74" s="61" t="s">
        <v>159</v>
      </c>
      <c r="H74" t="s">
        <v>27</v>
      </c>
    </row>
    <row r="75" spans="7:8">
      <c r="G75" s="61" t="s">
        <v>160</v>
      </c>
      <c r="H75" t="s">
        <v>27</v>
      </c>
    </row>
    <row r="76" spans="7:8">
      <c r="G76" s="61" t="s">
        <v>114</v>
      </c>
      <c r="H76" t="s">
        <v>24</v>
      </c>
    </row>
    <row r="77" spans="7:8">
      <c r="G77" s="61" t="s">
        <v>120</v>
      </c>
      <c r="H77" t="s">
        <v>35</v>
      </c>
    </row>
    <row r="78" spans="7:8">
      <c r="G78" s="61" t="s">
        <v>161</v>
      </c>
      <c r="H78" t="s">
        <v>32</v>
      </c>
    </row>
    <row r="79" spans="7:8">
      <c r="G79" s="61" t="s">
        <v>91</v>
      </c>
      <c r="H79" t="s">
        <v>28</v>
      </c>
    </row>
    <row r="80" spans="7:8">
      <c r="G80" s="61" t="s">
        <v>155</v>
      </c>
      <c r="H80" t="s">
        <v>24</v>
      </c>
    </row>
    <row r="81" spans="7:8">
      <c r="G81" s="61" t="s">
        <v>162</v>
      </c>
      <c r="H81" t="s">
        <v>32</v>
      </c>
    </row>
    <row r="82" spans="7:8">
      <c r="G82" s="61" t="s">
        <v>6</v>
      </c>
      <c r="H82" t="s">
        <v>24</v>
      </c>
    </row>
    <row r="83" spans="7:8">
      <c r="G83" s="61" t="s">
        <v>163</v>
      </c>
      <c r="H83" t="s">
        <v>32</v>
      </c>
    </row>
    <row r="84" spans="7:8">
      <c r="G84" s="61" t="s">
        <v>164</v>
      </c>
      <c r="H84" t="s">
        <v>23</v>
      </c>
    </row>
    <row r="85" spans="7:8">
      <c r="G85" s="61" t="s">
        <v>165</v>
      </c>
      <c r="H85" t="s">
        <v>26</v>
      </c>
    </row>
    <row r="86" spans="7:8">
      <c r="G86" s="61" t="s">
        <v>166</v>
      </c>
      <c r="H86" t="s">
        <v>25</v>
      </c>
    </row>
    <row r="87" spans="7:8">
      <c r="G87" s="61" t="s">
        <v>167</v>
      </c>
      <c r="H87" t="s">
        <v>18</v>
      </c>
    </row>
    <row r="88" spans="7:8">
      <c r="G88" s="61" t="s">
        <v>112</v>
      </c>
      <c r="H88" t="s">
        <v>18</v>
      </c>
    </row>
    <row r="89" spans="7:8">
      <c r="G89" s="61" t="s">
        <v>168</v>
      </c>
      <c r="H89" t="s">
        <v>18</v>
      </c>
    </row>
    <row r="90" spans="7:8">
      <c r="G90" s="61" t="s">
        <v>169</v>
      </c>
      <c r="H90" t="s">
        <v>28</v>
      </c>
    </row>
    <row r="91" spans="7:8">
      <c r="G91" s="61" t="s">
        <v>74</v>
      </c>
      <c r="H91" t="s">
        <v>23</v>
      </c>
    </row>
    <row r="92" spans="7:8">
      <c r="G92" s="61" t="s">
        <v>73</v>
      </c>
      <c r="H92" t="s">
        <v>23</v>
      </c>
    </row>
    <row r="93" spans="7:8">
      <c r="G93" s="61" t="s">
        <v>101</v>
      </c>
      <c r="H93" t="s">
        <v>23</v>
      </c>
    </row>
    <row r="94" spans="7:8">
      <c r="G94" s="61" t="s">
        <v>170</v>
      </c>
      <c r="H94" t="s">
        <v>26</v>
      </c>
    </row>
    <row r="95" spans="7:8">
      <c r="G95" s="61" t="s">
        <v>96</v>
      </c>
      <c r="H95" t="s">
        <v>21</v>
      </c>
    </row>
    <row r="96" spans="7:8">
      <c r="G96" s="61" t="s">
        <v>171</v>
      </c>
      <c r="H96" t="s">
        <v>19</v>
      </c>
    </row>
    <row r="97" spans="7:8">
      <c r="G97" s="61" t="s">
        <v>113</v>
      </c>
      <c r="H97" t="s">
        <v>35</v>
      </c>
    </row>
    <row r="98" spans="7:8">
      <c r="G98" s="61" t="s">
        <v>172</v>
      </c>
      <c r="H98" t="s">
        <v>27</v>
      </c>
    </row>
    <row r="99" spans="7:8">
      <c r="G99" s="61" t="s">
        <v>173</v>
      </c>
      <c r="H99" t="s">
        <v>19</v>
      </c>
    </row>
    <row r="100" spans="7:8">
      <c r="G100" s="61" t="s">
        <v>126</v>
      </c>
      <c r="H100" t="s">
        <v>39</v>
      </c>
    </row>
    <row r="101" spans="7:8">
      <c r="G101" s="61" t="s">
        <v>174</v>
      </c>
      <c r="H101" t="s">
        <v>32</v>
      </c>
    </row>
    <row r="102" spans="7:8">
      <c r="G102" s="61" t="s">
        <v>69</v>
      </c>
      <c r="H102" t="s">
        <v>18</v>
      </c>
    </row>
    <row r="103" spans="7:8">
      <c r="G103" s="62" t="s">
        <v>175</v>
      </c>
      <c r="H103" t="s">
        <v>18</v>
      </c>
    </row>
    <row r="104" spans="7:8">
      <c r="G104" s="62" t="s">
        <v>176</v>
      </c>
      <c r="H104" t="s">
        <v>25</v>
      </c>
    </row>
    <row r="105" spans="7:8">
      <c r="G105" s="62" t="s">
        <v>177</v>
      </c>
      <c r="H105" t="s">
        <v>19</v>
      </c>
    </row>
    <row r="106" spans="7:8">
      <c r="G106" s="62" t="s">
        <v>178</v>
      </c>
      <c r="H106" t="s">
        <v>39</v>
      </c>
    </row>
    <row r="107" spans="7:8">
      <c r="G107" s="62" t="s">
        <v>98</v>
      </c>
      <c r="H107" t="s">
        <v>23</v>
      </c>
    </row>
    <row r="108" spans="7:8">
      <c r="G108" s="62" t="s">
        <v>98</v>
      </c>
      <c r="H108" t="s">
        <v>23</v>
      </c>
    </row>
    <row r="109" spans="7:8">
      <c r="G109" s="62" t="s">
        <v>104</v>
      </c>
      <c r="H109" t="s">
        <v>32</v>
      </c>
    </row>
    <row r="110" spans="7:8">
      <c r="G110" s="62" t="s">
        <v>179</v>
      </c>
      <c r="H110" t="s">
        <v>26</v>
      </c>
    </row>
    <row r="111" spans="7:8">
      <c r="G111" s="62" t="s">
        <v>180</v>
      </c>
      <c r="H111" t="s">
        <v>25</v>
      </c>
    </row>
    <row r="112" spans="7:8">
      <c r="G112" s="62" t="s">
        <v>181</v>
      </c>
      <c r="H112" t="s">
        <v>32</v>
      </c>
    </row>
    <row r="113" spans="7:8">
      <c r="G113" s="62" t="s">
        <v>182</v>
      </c>
      <c r="H113" t="s">
        <v>19</v>
      </c>
    </row>
    <row r="114" spans="7:8">
      <c r="G114" s="62" t="s">
        <v>183</v>
      </c>
      <c r="H114" t="s">
        <v>26</v>
      </c>
    </row>
    <row r="115" spans="7:8">
      <c r="G115" s="62" t="s">
        <v>184</v>
      </c>
      <c r="H115" t="s">
        <v>24</v>
      </c>
    </row>
    <row r="116" spans="7:8">
      <c r="G116" s="62" t="s">
        <v>185</v>
      </c>
      <c r="H116" t="s">
        <v>24</v>
      </c>
    </row>
    <row r="117" spans="7:8">
      <c r="G117" s="62" t="s">
        <v>186</v>
      </c>
      <c r="H117" t="s">
        <v>26</v>
      </c>
    </row>
    <row r="118" spans="7:8">
      <c r="G118" s="61" t="s">
        <v>187</v>
      </c>
      <c r="H118" t="s">
        <v>18</v>
      </c>
    </row>
    <row r="119" spans="7:8">
      <c r="G119" s="62" t="s">
        <v>189</v>
      </c>
      <c r="H119" t="s">
        <v>28</v>
      </c>
    </row>
    <row r="120" spans="7:8">
      <c r="G120" s="62" t="s">
        <v>190</v>
      </c>
      <c r="H120" t="s">
        <v>24</v>
      </c>
    </row>
    <row r="121" spans="7:8">
      <c r="G121" s="62" t="s">
        <v>191</v>
      </c>
      <c r="H121" t="s">
        <v>23</v>
      </c>
    </row>
    <row r="122" spans="7:8">
      <c r="G122" s="62" t="s">
        <v>192</v>
      </c>
      <c r="H122" t="s">
        <v>24</v>
      </c>
    </row>
    <row r="123" spans="7:8">
      <c r="G123" s="62" t="s">
        <v>83</v>
      </c>
      <c r="H123" t="s">
        <v>28</v>
      </c>
    </row>
    <row r="124" spans="7:8">
      <c r="G124" s="62" t="s">
        <v>193</v>
      </c>
      <c r="H124" t="s">
        <v>26</v>
      </c>
    </row>
    <row r="125" spans="7:8">
      <c r="G125" s="62" t="s">
        <v>194</v>
      </c>
      <c r="H125" t="s">
        <v>19</v>
      </c>
    </row>
    <row r="126" spans="7:8">
      <c r="G126" s="62" t="s">
        <v>195</v>
      </c>
      <c r="H126" t="s">
        <v>19</v>
      </c>
    </row>
    <row r="127" spans="7:8">
      <c r="G127" s="62" t="s">
        <v>196</v>
      </c>
      <c r="H127" t="s">
        <v>34</v>
      </c>
    </row>
    <row r="128" spans="7:8">
      <c r="G128" s="62" t="s">
        <v>102</v>
      </c>
      <c r="H128" t="s">
        <v>28</v>
      </c>
    </row>
    <row r="129" spans="7:8">
      <c r="G129" s="62" t="s">
        <v>197</v>
      </c>
      <c r="H129" t="s">
        <v>18</v>
      </c>
    </row>
    <row r="130" spans="7:8">
      <c r="G130" s="62" t="s">
        <v>188</v>
      </c>
      <c r="H130" t="s">
        <v>18</v>
      </c>
    </row>
    <row r="131" spans="7:8">
      <c r="G131" s="62" t="s">
        <v>199</v>
      </c>
      <c r="H131" t="s">
        <v>26</v>
      </c>
    </row>
    <row r="132" spans="7:8">
      <c r="G132" s="62" t="s">
        <v>200</v>
      </c>
      <c r="H132" t="s">
        <v>23</v>
      </c>
    </row>
    <row r="133" spans="7:8">
      <c r="G133" s="62" t="s">
        <v>117</v>
      </c>
      <c r="H133" t="s">
        <v>32</v>
      </c>
    </row>
    <row r="134" spans="7:8">
      <c r="G134" s="62" t="s">
        <v>201</v>
      </c>
      <c r="H134" t="s">
        <v>32</v>
      </c>
    </row>
    <row r="135" spans="7:8">
      <c r="G135" s="62" t="s">
        <v>202</v>
      </c>
      <c r="H135" t="s">
        <v>26</v>
      </c>
    </row>
    <row r="136" spans="7:8">
      <c r="G136" s="62" t="s">
        <v>203</v>
      </c>
      <c r="H136" t="s">
        <v>32</v>
      </c>
    </row>
    <row r="137" spans="7:8">
      <c r="G137" s="62" t="s">
        <v>204</v>
      </c>
      <c r="H137" t="s">
        <v>22</v>
      </c>
    </row>
    <row r="138" spans="7:8">
      <c r="G138" s="62" t="s">
        <v>198</v>
      </c>
      <c r="H138" t="s">
        <v>28</v>
      </c>
    </row>
    <row r="139" spans="7:8">
      <c r="G139" s="62" t="s">
        <v>205</v>
      </c>
      <c r="H139" t="s">
        <v>25</v>
      </c>
    </row>
    <row r="140" spans="7:8">
      <c r="G140" s="62" t="s">
        <v>206</v>
      </c>
      <c r="H140" t="s">
        <v>22</v>
      </c>
    </row>
    <row r="141" spans="7:8">
      <c r="G141" s="62" t="s">
        <v>207</v>
      </c>
      <c r="H141" t="s">
        <v>35</v>
      </c>
    </row>
    <row r="142" spans="7:8">
      <c r="G142" s="62" t="s">
        <v>208</v>
      </c>
      <c r="H142" t="s">
        <v>19</v>
      </c>
    </row>
    <row r="143" spans="7:8">
      <c r="G143" s="62" t="s">
        <v>209</v>
      </c>
      <c r="H143" t="s">
        <v>22</v>
      </c>
    </row>
    <row r="144" spans="7:8">
      <c r="G144" s="62" t="s">
        <v>210</v>
      </c>
      <c r="H144" t="s">
        <v>26</v>
      </c>
    </row>
    <row r="145" spans="7:8">
      <c r="G145" s="62" t="s">
        <v>7</v>
      </c>
      <c r="H145" t="s">
        <v>24</v>
      </c>
    </row>
    <row r="146" spans="7:8">
      <c r="G146" s="61" t="s">
        <v>211</v>
      </c>
      <c r="H146" t="s">
        <v>18</v>
      </c>
    </row>
    <row r="147" spans="7:8">
      <c r="G147" s="61" t="s">
        <v>213</v>
      </c>
      <c r="H147" t="s">
        <v>32</v>
      </c>
    </row>
    <row r="148" spans="7:8">
      <c r="G148" s="61" t="s">
        <v>212</v>
      </c>
      <c r="H148" t="s">
        <v>32</v>
      </c>
    </row>
    <row r="149" spans="7:8">
      <c r="G149" s="61" t="s">
        <v>215</v>
      </c>
      <c r="H149" t="s">
        <v>39</v>
      </c>
    </row>
    <row r="150" spans="7:8">
      <c r="G150" s="61" t="s">
        <v>214</v>
      </c>
      <c r="H150" t="s">
        <v>19</v>
      </c>
    </row>
    <row r="151" spans="7:8">
      <c r="G151" s="61" t="s">
        <v>216</v>
      </c>
      <c r="H151" t="s">
        <v>28</v>
      </c>
    </row>
    <row r="152" spans="7:8">
      <c r="G152" s="62" t="s">
        <v>217</v>
      </c>
      <c r="H152" t="s">
        <v>28</v>
      </c>
    </row>
    <row r="153" spans="7:8">
      <c r="G153" s="62" t="s">
        <v>219</v>
      </c>
      <c r="H153" t="s">
        <v>24</v>
      </c>
    </row>
    <row r="154" spans="7:8">
      <c r="G154" s="62" t="s">
        <v>220</v>
      </c>
      <c r="H154" t="s">
        <v>28</v>
      </c>
    </row>
    <row r="155" spans="7:8">
      <c r="G155" s="62" t="s">
        <v>221</v>
      </c>
      <c r="H155" t="s">
        <v>18</v>
      </c>
    </row>
    <row r="156" spans="7:8">
      <c r="G156" s="62" t="s">
        <v>222</v>
      </c>
      <c r="H156" t="s">
        <v>18</v>
      </c>
    </row>
    <row r="157" spans="7:8">
      <c r="G157" s="62" t="s">
        <v>218</v>
      </c>
      <c r="H157" t="s">
        <v>32</v>
      </c>
    </row>
    <row r="158" spans="7:8">
      <c r="G158" s="62" t="s">
        <v>223</v>
      </c>
      <c r="H158" t="s">
        <v>24</v>
      </c>
    </row>
    <row r="159" spans="7:8">
      <c r="G159" s="62" t="s">
        <v>224</v>
      </c>
      <c r="H159" t="s">
        <v>19</v>
      </c>
    </row>
    <row r="160" spans="7:8">
      <c r="G160" s="61" t="s">
        <v>108</v>
      </c>
      <c r="H160" t="s">
        <v>22</v>
      </c>
    </row>
    <row r="161" spans="7:8">
      <c r="G161" s="62" t="s">
        <v>225</v>
      </c>
      <c r="H161" t="s">
        <v>28</v>
      </c>
    </row>
    <row r="162" spans="7:8">
      <c r="G162" s="62" t="s">
        <v>226</v>
      </c>
      <c r="H162" t="s">
        <v>32</v>
      </c>
    </row>
    <row r="163" spans="7:8">
      <c r="G163" s="62" t="s">
        <v>125</v>
      </c>
      <c r="H163" t="s">
        <v>22</v>
      </c>
    </row>
    <row r="164" spans="7:8">
      <c r="G164" s="62" t="s">
        <v>227</v>
      </c>
      <c r="H164" t="s">
        <v>25</v>
      </c>
    </row>
    <row r="165" spans="7:8">
      <c r="G165" s="62" t="s">
        <v>228</v>
      </c>
      <c r="H165" t="s">
        <v>18</v>
      </c>
    </row>
    <row r="166" spans="7:8">
      <c r="G166" s="62" t="s">
        <v>229</v>
      </c>
      <c r="H166" t="s">
        <v>26</v>
      </c>
    </row>
    <row r="167" spans="7:8">
      <c r="G167" s="62" t="s">
        <v>230</v>
      </c>
      <c r="H167" t="s">
        <v>23</v>
      </c>
    </row>
    <row r="168" spans="7:8">
      <c r="G168" s="62" t="s">
        <v>231</v>
      </c>
      <c r="H168" t="s">
        <v>19</v>
      </c>
    </row>
    <row r="169" spans="7:8">
      <c r="G169" s="62" t="s">
        <v>232</v>
      </c>
      <c r="H169" t="s">
        <v>26</v>
      </c>
    </row>
    <row r="170" spans="7:8">
      <c r="G170" s="62" t="s">
        <v>233</v>
      </c>
      <c r="H170" t="s">
        <v>28</v>
      </c>
    </row>
    <row r="171" spans="7:8">
      <c r="G171" s="62" t="s">
        <v>234</v>
      </c>
      <c r="H171" t="s">
        <v>28</v>
      </c>
    </row>
    <row r="172" spans="7:8">
      <c r="G172" s="62" t="s">
        <v>235</v>
      </c>
      <c r="H172" t="s">
        <v>32</v>
      </c>
    </row>
    <row r="173" spans="7:8">
      <c r="G173" s="62" t="s">
        <v>236</v>
      </c>
      <c r="H173" t="s">
        <v>28</v>
      </c>
    </row>
    <row r="174" spans="7:8">
      <c r="G174" s="62" t="s">
        <v>237</v>
      </c>
      <c r="H174" t="s">
        <v>28</v>
      </c>
    </row>
    <row r="175" spans="7:8">
      <c r="G175" s="62" t="s">
        <v>238</v>
      </c>
      <c r="H175" t="s">
        <v>23</v>
      </c>
    </row>
    <row r="176" spans="7:8">
      <c r="G176" s="62" t="s">
        <v>239</v>
      </c>
      <c r="H176" t="s">
        <v>23</v>
      </c>
    </row>
    <row r="177" spans="7:8">
      <c r="G177" s="61" t="s">
        <v>240</v>
      </c>
      <c r="H177" t="s">
        <v>18</v>
      </c>
    </row>
    <row r="178" spans="7:8">
      <c r="G178" s="62" t="s">
        <v>241</v>
      </c>
      <c r="H178" t="s">
        <v>18</v>
      </c>
    </row>
    <row r="179" spans="7:8">
      <c r="G179" s="62" t="s">
        <v>242</v>
      </c>
      <c r="H179" t="s">
        <v>26</v>
      </c>
    </row>
    <row r="180" spans="7:8">
      <c r="G180" s="62" t="s">
        <v>243</v>
      </c>
      <c r="H180" t="s">
        <v>19</v>
      </c>
    </row>
    <row r="181" spans="7:8">
      <c r="G181" s="62" t="s">
        <v>244</v>
      </c>
      <c r="H181" t="s">
        <v>26</v>
      </c>
    </row>
    <row r="182" spans="7:8">
      <c r="G182" s="62" t="s">
        <v>245</v>
      </c>
      <c r="H182" t="s">
        <v>18</v>
      </c>
    </row>
    <row r="183" spans="7:8">
      <c r="G183" s="62" t="s">
        <v>246</v>
      </c>
      <c r="H183" t="s">
        <v>35</v>
      </c>
    </row>
    <row r="184" spans="7:8">
      <c r="G184" s="62" t="s">
        <v>247</v>
      </c>
      <c r="H184" t="s">
        <v>32</v>
      </c>
    </row>
    <row r="185" spans="7:8">
      <c r="G185" s="62" t="s">
        <v>248</v>
      </c>
      <c r="H185" t="s">
        <v>28</v>
      </c>
    </row>
    <row r="186" spans="7:8">
      <c r="G186" s="62" t="s">
        <v>249</v>
      </c>
      <c r="H186" t="s">
        <v>24</v>
      </c>
    </row>
    <row r="187" spans="7:8">
      <c r="G187" s="62" t="s">
        <v>250</v>
      </c>
      <c r="H187" t="s">
        <v>28</v>
      </c>
    </row>
    <row r="188" spans="7:8">
      <c r="G188" s="61" t="s">
        <v>251</v>
      </c>
      <c r="H188" t="s">
        <v>18</v>
      </c>
    </row>
    <row r="189" spans="7:8">
      <c r="G189" s="61" t="s">
        <v>252</v>
      </c>
      <c r="H189" t="s">
        <v>32</v>
      </c>
    </row>
    <row r="190" spans="7:8">
      <c r="G190" s="61" t="s">
        <v>253</v>
      </c>
      <c r="H190" t="s">
        <v>25</v>
      </c>
    </row>
    <row r="191" spans="7:8">
      <c r="G191" s="61" t="s">
        <v>254</v>
      </c>
      <c r="H191" t="s">
        <v>24</v>
      </c>
    </row>
    <row r="192" spans="7:8">
      <c r="G192" s="61" t="s">
        <v>255</v>
      </c>
      <c r="H192" t="s">
        <v>25</v>
      </c>
    </row>
    <row r="193" spans="7:8">
      <c r="G193" s="61" t="s">
        <v>256</v>
      </c>
      <c r="H193" t="s">
        <v>19</v>
      </c>
    </row>
    <row r="194" spans="7:8">
      <c r="G194" s="61" t="s">
        <v>257</v>
      </c>
      <c r="H194" t="s">
        <v>24</v>
      </c>
    </row>
    <row r="195" spans="7:8">
      <c r="G195" s="61" t="s">
        <v>258</v>
      </c>
      <c r="H195" t="s">
        <v>19</v>
      </c>
    </row>
    <row r="196" spans="7:8">
      <c r="G196" s="61" t="s">
        <v>259</v>
      </c>
      <c r="H196" t="s">
        <v>26</v>
      </c>
    </row>
    <row r="197" spans="7:8">
      <c r="G197" s="61" t="s">
        <v>259</v>
      </c>
      <c r="H197" t="s">
        <v>26</v>
      </c>
    </row>
    <row r="198" spans="7:8">
      <c r="G198" s="61" t="s">
        <v>260</v>
      </c>
      <c r="H198" t="s">
        <v>32</v>
      </c>
    </row>
    <row r="199" spans="7:8">
      <c r="G199" s="63" t="s">
        <v>261</v>
      </c>
      <c r="H199" t="s">
        <v>19</v>
      </c>
    </row>
    <row r="200" spans="7:8">
      <c r="G200" s="62" t="s">
        <v>262</v>
      </c>
      <c r="H200" t="s">
        <v>22</v>
      </c>
    </row>
    <row r="201" spans="7:8">
      <c r="G201" s="62" t="s">
        <v>263</v>
      </c>
      <c r="H201" t="s">
        <v>28</v>
      </c>
    </row>
    <row r="202" spans="7:8">
      <c r="G202" s="62" t="s">
        <v>264</v>
      </c>
      <c r="H202" t="s">
        <v>39</v>
      </c>
    </row>
    <row r="203" spans="7:8">
      <c r="G203" s="62" t="s">
        <v>265</v>
      </c>
      <c r="H203" t="s">
        <v>39</v>
      </c>
    </row>
    <row r="204" spans="7:8">
      <c r="G204" s="62" t="s">
        <v>266</v>
      </c>
      <c r="H204" t="s">
        <v>18</v>
      </c>
    </row>
    <row r="205" spans="7:8">
      <c r="G205" s="62" t="s">
        <v>267</v>
      </c>
      <c r="H205" t="s">
        <v>18</v>
      </c>
    </row>
    <row r="206" spans="7:8">
      <c r="G206" s="62" t="s">
        <v>268</v>
      </c>
      <c r="H206" t="s">
        <v>26</v>
      </c>
    </row>
    <row r="207" spans="7:8">
      <c r="G207" s="62" t="s">
        <v>269</v>
      </c>
      <c r="H207" t="s">
        <v>32</v>
      </c>
    </row>
    <row r="208" spans="7:8">
      <c r="G208" s="62" t="s">
        <v>270</v>
      </c>
      <c r="H208" t="s">
        <v>18</v>
      </c>
    </row>
    <row r="209" spans="7:8">
      <c r="G209" s="62" t="s">
        <v>271</v>
      </c>
      <c r="H209" t="s">
        <v>25</v>
      </c>
    </row>
    <row r="210" spans="7:8">
      <c r="G210" s="62" t="s">
        <v>272</v>
      </c>
      <c r="H210" t="s">
        <v>26</v>
      </c>
    </row>
    <row r="211" spans="7:8">
      <c r="G211" s="62" t="s">
        <v>273</v>
      </c>
      <c r="H211" t="s">
        <v>32</v>
      </c>
    </row>
    <row r="212" spans="7:8">
      <c r="G212" s="62" t="s">
        <v>274</v>
      </c>
      <c r="H212" t="s">
        <v>39</v>
      </c>
    </row>
    <row r="213" spans="7:8">
      <c r="G213" s="62" t="s">
        <v>275</v>
      </c>
      <c r="H213" t="s">
        <v>19</v>
      </c>
    </row>
    <row r="214" spans="7:8">
      <c r="G214" s="61" t="s">
        <v>276</v>
      </c>
      <c r="H214" t="s">
        <v>22</v>
      </c>
    </row>
    <row r="215" spans="7:8">
      <c r="G215" s="61" t="s">
        <v>277</v>
      </c>
      <c r="H215" t="s">
        <v>22</v>
      </c>
    </row>
    <row r="216" spans="7:8">
      <c r="G216" s="61" t="s">
        <v>278</v>
      </c>
      <c r="H216" t="s">
        <v>22</v>
      </c>
    </row>
    <row r="217" spans="7:8">
      <c r="G217" s="61" t="s">
        <v>279</v>
      </c>
      <c r="H217" t="s">
        <v>32</v>
      </c>
    </row>
    <row r="218" spans="7:8">
      <c r="G218" s="64" t="s">
        <v>280</v>
      </c>
      <c r="H218" t="s">
        <v>28</v>
      </c>
    </row>
    <row r="219" spans="7:8">
      <c r="G219" s="62" t="s">
        <v>281</v>
      </c>
      <c r="H219" t="s">
        <v>18</v>
      </c>
    </row>
    <row r="220" spans="7:8">
      <c r="G220" s="62" t="s">
        <v>282</v>
      </c>
      <c r="H220" t="s">
        <v>39</v>
      </c>
    </row>
    <row r="221" spans="7:8">
      <c r="G221" s="62" t="s">
        <v>283</v>
      </c>
      <c r="H221" t="s">
        <v>26</v>
      </c>
    </row>
    <row r="222" spans="7:8">
      <c r="G222" s="62" t="s">
        <v>284</v>
      </c>
      <c r="H222" t="s">
        <v>22</v>
      </c>
    </row>
    <row r="223" spans="7:8">
      <c r="G223" s="62" t="s">
        <v>285</v>
      </c>
      <c r="H223" t="s">
        <v>26</v>
      </c>
    </row>
    <row r="224" spans="7:8">
      <c r="G224" s="61" t="s">
        <v>286</v>
      </c>
      <c r="H224" t="s">
        <v>28</v>
      </c>
    </row>
    <row r="225" spans="7:8">
      <c r="G225" s="61" t="s">
        <v>287</v>
      </c>
      <c r="H225" t="s">
        <v>28</v>
      </c>
    </row>
    <row r="226" spans="7:8">
      <c r="G226" s="61" t="s">
        <v>288</v>
      </c>
      <c r="H226" t="s">
        <v>24</v>
      </c>
    </row>
    <row r="227" spans="7:8">
      <c r="G227" s="61" t="s">
        <v>289</v>
      </c>
      <c r="H227" t="s">
        <v>22</v>
      </c>
    </row>
    <row r="228" spans="7:8">
      <c r="G228" s="61" t="s">
        <v>290</v>
      </c>
      <c r="H228" t="s">
        <v>39</v>
      </c>
    </row>
    <row r="229" spans="7:8">
      <c r="G229" s="61" t="s">
        <v>291</v>
      </c>
      <c r="H229" t="s">
        <v>39</v>
      </c>
    </row>
    <row r="230" spans="7:8">
      <c r="G230" s="61" t="s">
        <v>292</v>
      </c>
      <c r="H230" t="s">
        <v>18</v>
      </c>
    </row>
    <row r="231" spans="7:8">
      <c r="G231" s="61" t="s">
        <v>293</v>
      </c>
      <c r="H231" t="s">
        <v>39</v>
      </c>
    </row>
    <row r="232" spans="7:8">
      <c r="G232" s="61" t="s">
        <v>294</v>
      </c>
      <c r="H232" t="s">
        <v>28</v>
      </c>
    </row>
    <row r="233" spans="7:8">
      <c r="G233" s="61" t="s">
        <v>295</v>
      </c>
      <c r="H233" t="s">
        <v>19</v>
      </c>
    </row>
    <row r="234" spans="7:8">
      <c r="G234" s="61" t="s">
        <v>296</v>
      </c>
      <c r="H234" t="s">
        <v>26</v>
      </c>
    </row>
    <row r="235" spans="7:8">
      <c r="G235" s="62" t="s">
        <v>306</v>
      </c>
      <c r="H235" t="s">
        <v>18</v>
      </c>
    </row>
    <row r="236" spans="7:8">
      <c r="G236" s="62" t="s">
        <v>307</v>
      </c>
      <c r="H236" t="s">
        <v>18</v>
      </c>
    </row>
    <row r="237" spans="7:8">
      <c r="G237" s="62" t="s">
        <v>308</v>
      </c>
      <c r="H237" t="s">
        <v>18</v>
      </c>
    </row>
    <row r="238" spans="7:8">
      <c r="G238" s="62" t="s">
        <v>308</v>
      </c>
      <c r="H238" t="s">
        <v>18</v>
      </c>
    </row>
    <row r="239" spans="7:8">
      <c r="G239" s="62" t="s">
        <v>309</v>
      </c>
      <c r="H239" t="s">
        <v>18</v>
      </c>
    </row>
    <row r="240" spans="7:8">
      <c r="G240" s="62" t="s">
        <v>310</v>
      </c>
      <c r="H240" t="s">
        <v>18</v>
      </c>
    </row>
    <row r="241" spans="7:8">
      <c r="G241" s="62" t="s">
        <v>311</v>
      </c>
      <c r="H241" t="s">
        <v>18</v>
      </c>
    </row>
    <row r="242" spans="7:8">
      <c r="G242" s="62" t="s">
        <v>318</v>
      </c>
      <c r="H242" t="s">
        <v>18</v>
      </c>
    </row>
    <row r="243" spans="7:8">
      <c r="G243" s="61" t="s">
        <v>297</v>
      </c>
      <c r="H243" t="s">
        <v>18</v>
      </c>
    </row>
    <row r="244" spans="7:8">
      <c r="G244" s="61" t="s">
        <v>298</v>
      </c>
      <c r="H244" t="s">
        <v>34</v>
      </c>
    </row>
    <row r="245" spans="7:8">
      <c r="G245" s="61" t="s">
        <v>299</v>
      </c>
      <c r="H245" t="s">
        <v>24</v>
      </c>
    </row>
    <row r="246" spans="7:8">
      <c r="G246" s="61" t="s">
        <v>300</v>
      </c>
      <c r="H246" t="s">
        <v>23</v>
      </c>
    </row>
    <row r="247" spans="7:8">
      <c r="G247" s="61" t="s">
        <v>301</v>
      </c>
      <c r="H247" t="s">
        <v>23</v>
      </c>
    </row>
    <row r="248" spans="7:8">
      <c r="G248" s="61" t="s">
        <v>302</v>
      </c>
      <c r="H248" t="s">
        <v>26</v>
      </c>
    </row>
    <row r="249" spans="7:8">
      <c r="G249" s="61" t="s">
        <v>303</v>
      </c>
      <c r="H249" t="s">
        <v>22</v>
      </c>
    </row>
    <row r="250" spans="7:8">
      <c r="G250" s="61" t="s">
        <v>304</v>
      </c>
      <c r="H250" t="s">
        <v>32</v>
      </c>
    </row>
    <row r="251" spans="7:8">
      <c r="G251" s="61" t="s">
        <v>305</v>
      </c>
      <c r="H251" t="s">
        <v>22</v>
      </c>
    </row>
    <row r="252" spans="7:8">
      <c r="G252" s="62" t="s">
        <v>317</v>
      </c>
      <c r="H252" t="s">
        <v>18</v>
      </c>
    </row>
    <row r="253" spans="7:8">
      <c r="G253" s="62" t="s">
        <v>313</v>
      </c>
      <c r="H253" t="s">
        <v>18</v>
      </c>
    </row>
    <row r="254" spans="7:8">
      <c r="G254" s="62" t="s">
        <v>314</v>
      </c>
      <c r="H254" t="s">
        <v>25</v>
      </c>
    </row>
    <row r="255" spans="7:8">
      <c r="G255" s="62" t="s">
        <v>312</v>
      </c>
      <c r="H255" t="s">
        <v>34</v>
      </c>
    </row>
    <row r="256" spans="7:8">
      <c r="G256" s="62" t="s">
        <v>315</v>
      </c>
      <c r="H256" t="s">
        <v>32</v>
      </c>
    </row>
    <row r="257" spans="7:8">
      <c r="G257" s="62" t="s">
        <v>316</v>
      </c>
      <c r="H257" t="s">
        <v>5</v>
      </c>
    </row>
    <row r="258" spans="7:8">
      <c r="G258" s="62" t="s">
        <v>319</v>
      </c>
      <c r="H258" t="s">
        <v>18</v>
      </c>
    </row>
    <row r="259" spans="7:8">
      <c r="G259" s="62" t="s">
        <v>320</v>
      </c>
      <c r="H259" t="s">
        <v>18</v>
      </c>
    </row>
    <row r="260" spans="7:8">
      <c r="G260" s="61" t="s">
        <v>322</v>
      </c>
      <c r="H260" t="s">
        <v>24</v>
      </c>
    </row>
    <row r="261" spans="7:8">
      <c r="G261" s="61" t="s">
        <v>321</v>
      </c>
      <c r="H261" t="s">
        <v>24</v>
      </c>
    </row>
    <row r="262" spans="7:8">
      <c r="G262" s="61" t="s">
        <v>323</v>
      </c>
      <c r="H262" t="s">
        <v>32</v>
      </c>
    </row>
    <row r="263" spans="7:8">
      <c r="G263" s="61" t="s">
        <v>324</v>
      </c>
      <c r="H263" t="s">
        <v>28</v>
      </c>
    </row>
    <row r="264" spans="7:8">
      <c r="G264" s="61" t="s">
        <v>325</v>
      </c>
      <c r="H264" t="s">
        <v>26</v>
      </c>
    </row>
    <row r="265" spans="7:8">
      <c r="G265" s="61" t="s">
        <v>326</v>
      </c>
      <c r="H265" t="s">
        <v>28</v>
      </c>
    </row>
    <row r="266" spans="7:8">
      <c r="G266" s="61" t="s">
        <v>327</v>
      </c>
      <c r="H266" t="s">
        <v>28</v>
      </c>
    </row>
    <row r="267" spans="7:8">
      <c r="G267" s="61" t="s">
        <v>328</v>
      </c>
      <c r="H267" t="s">
        <v>25</v>
      </c>
    </row>
    <row r="268" spans="7:8">
      <c r="G268" s="61" t="s">
        <v>329</v>
      </c>
      <c r="H268" t="s">
        <v>32</v>
      </c>
    </row>
    <row r="269" spans="7:8">
      <c r="G269" s="61" t="s">
        <v>330</v>
      </c>
      <c r="H269" t="s">
        <v>26</v>
      </c>
    </row>
    <row r="270" spans="7:8">
      <c r="G270" s="61" t="s">
        <v>336</v>
      </c>
      <c r="H270" t="s">
        <v>19</v>
      </c>
    </row>
    <row r="271" spans="7:8">
      <c r="G271" s="62" t="s">
        <v>331</v>
      </c>
      <c r="H271" t="s">
        <v>28</v>
      </c>
    </row>
    <row r="272" spans="7:8">
      <c r="G272" s="62" t="s">
        <v>332</v>
      </c>
      <c r="H272" t="s">
        <v>22</v>
      </c>
    </row>
    <row r="273" spans="7:8">
      <c r="G273" s="62" t="s">
        <v>333</v>
      </c>
      <c r="H273" t="s">
        <v>18</v>
      </c>
    </row>
    <row r="274" spans="7:8">
      <c r="G274" s="62" t="s">
        <v>334</v>
      </c>
      <c r="H274" t="s">
        <v>18</v>
      </c>
    </row>
    <row r="275" spans="7:8">
      <c r="G275" s="62" t="s">
        <v>335</v>
      </c>
      <c r="H275" t="s">
        <v>23</v>
      </c>
    </row>
    <row r="276" spans="7:8">
      <c r="G276" s="62" t="s">
        <v>337</v>
      </c>
      <c r="H276" t="s">
        <v>32</v>
      </c>
    </row>
    <row r="277" spans="7:8">
      <c r="G277" s="62" t="s">
        <v>338</v>
      </c>
      <c r="H277" t="s">
        <v>18</v>
      </c>
    </row>
    <row r="278" spans="7:8">
      <c r="G278" s="62" t="s">
        <v>340</v>
      </c>
      <c r="H278" t="s">
        <v>23</v>
      </c>
    </row>
    <row r="279" spans="7:8">
      <c r="G279" s="62" t="s">
        <v>341</v>
      </c>
      <c r="H279" t="s">
        <v>18</v>
      </c>
    </row>
    <row r="280" spans="7:8">
      <c r="G280" s="62" t="s">
        <v>339</v>
      </c>
      <c r="H280" t="s">
        <v>23</v>
      </c>
    </row>
    <row r="281" spans="7:8">
      <c r="G281" s="62" t="s">
        <v>342</v>
      </c>
      <c r="H281" t="s">
        <v>32</v>
      </c>
    </row>
    <row r="282" spans="7:8">
      <c r="G282" s="62" t="s">
        <v>343</v>
      </c>
      <c r="H282" t="s">
        <v>23</v>
      </c>
    </row>
    <row r="283" spans="7:8">
      <c r="G283" s="62" t="s">
        <v>344</v>
      </c>
      <c r="H283" t="s">
        <v>23</v>
      </c>
    </row>
    <row r="284" spans="7:8">
      <c r="G284" s="62" t="s">
        <v>348</v>
      </c>
      <c r="H284" t="s">
        <v>18</v>
      </c>
    </row>
    <row r="285" spans="7:8">
      <c r="G285" s="62" t="s">
        <v>349</v>
      </c>
      <c r="H285" t="s">
        <v>18</v>
      </c>
    </row>
    <row r="286" spans="7:8">
      <c r="G286" s="62" t="s">
        <v>350</v>
      </c>
      <c r="H286" t="s">
        <v>18</v>
      </c>
    </row>
    <row r="287" spans="7:8">
      <c r="G287" s="62" t="s">
        <v>348</v>
      </c>
      <c r="H287" t="s">
        <v>18</v>
      </c>
    </row>
    <row r="288" spans="7:8">
      <c r="G288" s="62" t="s">
        <v>351</v>
      </c>
      <c r="H288" t="s">
        <v>18</v>
      </c>
    </row>
    <row r="289" spans="7:8">
      <c r="G289" s="62" t="s">
        <v>345</v>
      </c>
      <c r="H289" t="s">
        <v>18</v>
      </c>
    </row>
    <row r="290" spans="7:8">
      <c r="G290" s="62" t="s">
        <v>346</v>
      </c>
      <c r="H290" t="s">
        <v>19</v>
      </c>
    </row>
    <row r="291" spans="7:8">
      <c r="G291" s="62" t="s">
        <v>347</v>
      </c>
      <c r="H291" t="s">
        <v>21</v>
      </c>
    </row>
    <row r="292" spans="7:8">
      <c r="G292" s="62" t="s">
        <v>352</v>
      </c>
      <c r="H292" t="s">
        <v>18</v>
      </c>
    </row>
    <row r="293" spans="7:8">
      <c r="G293" s="62" t="s">
        <v>353</v>
      </c>
      <c r="H293" t="s">
        <v>18</v>
      </c>
    </row>
    <row r="294" spans="7:8">
      <c r="G294" s="62" t="s">
        <v>354</v>
      </c>
      <c r="H294" t="s">
        <v>32</v>
      </c>
    </row>
    <row r="295" spans="7:8">
      <c r="G295" s="62" t="s">
        <v>355</v>
      </c>
      <c r="H295" t="s">
        <v>25</v>
      </c>
    </row>
    <row r="296" spans="7:8">
      <c r="G296" s="62" t="s">
        <v>356</v>
      </c>
      <c r="H296" t="s">
        <v>22</v>
      </c>
    </row>
    <row r="297" spans="7:8">
      <c r="G297" s="62" t="s">
        <v>357</v>
      </c>
      <c r="H297" t="s">
        <v>19</v>
      </c>
    </row>
    <row r="298" spans="7:8">
      <c r="G298" s="62" t="s">
        <v>358</v>
      </c>
      <c r="H298" t="s">
        <v>25</v>
      </c>
    </row>
    <row r="299" spans="7:8">
      <c r="G299" s="61" t="s">
        <v>371</v>
      </c>
      <c r="H299" t="s">
        <v>22</v>
      </c>
    </row>
    <row r="300" spans="7:8">
      <c r="G300" s="61" t="s">
        <v>372</v>
      </c>
      <c r="H300" t="s">
        <v>32</v>
      </c>
    </row>
    <row r="301" spans="7:8">
      <c r="G301" s="61" t="s">
        <v>359</v>
      </c>
      <c r="H301" t="s">
        <v>19</v>
      </c>
    </row>
    <row r="302" spans="7:8">
      <c r="G302" s="61" t="s">
        <v>360</v>
      </c>
      <c r="H302" t="s">
        <v>28</v>
      </c>
    </row>
    <row r="303" spans="7:8">
      <c r="G303" s="62" t="s">
        <v>361</v>
      </c>
      <c r="H303" t="s">
        <v>27</v>
      </c>
    </row>
    <row r="304" spans="7:8">
      <c r="G304" s="62" t="s">
        <v>362</v>
      </c>
      <c r="H304" t="s">
        <v>32</v>
      </c>
    </row>
    <row r="305" spans="7:8">
      <c r="G305" s="62" t="s">
        <v>363</v>
      </c>
      <c r="H305" t="s">
        <v>18</v>
      </c>
    </row>
    <row r="306" spans="7:8">
      <c r="G306" s="62" t="s">
        <v>364</v>
      </c>
      <c r="H306" t="s">
        <v>18</v>
      </c>
    </row>
    <row r="307" spans="7:8">
      <c r="G307" s="62" t="s">
        <v>365</v>
      </c>
      <c r="H307" t="s">
        <v>18</v>
      </c>
    </row>
    <row r="308" spans="7:8">
      <c r="G308" s="62" t="s">
        <v>366</v>
      </c>
      <c r="H308" t="s">
        <v>18</v>
      </c>
    </row>
    <row r="309" spans="7:8">
      <c r="G309" s="62" t="s">
        <v>367</v>
      </c>
      <c r="H309" t="s">
        <v>18</v>
      </c>
    </row>
    <row r="310" spans="7:8">
      <c r="G310" s="62" t="s">
        <v>368</v>
      </c>
      <c r="H310" t="s">
        <v>26</v>
      </c>
    </row>
    <row r="311" spans="7:8">
      <c r="G311" s="62" t="s">
        <v>369</v>
      </c>
      <c r="H311" t="s">
        <v>28</v>
      </c>
    </row>
    <row r="312" spans="7:8">
      <c r="G312" s="62" t="s">
        <v>370</v>
      </c>
      <c r="H312" t="s">
        <v>18</v>
      </c>
    </row>
    <row r="313" spans="7:8">
      <c r="G313" s="62" t="s">
        <v>374</v>
      </c>
      <c r="H313" t="s">
        <v>21</v>
      </c>
    </row>
    <row r="314" spans="7:8">
      <c r="G314" s="62" t="s">
        <v>375</v>
      </c>
      <c r="H314" t="s">
        <v>18</v>
      </c>
    </row>
    <row r="315" spans="7:8">
      <c r="G315" s="62" t="s">
        <v>376</v>
      </c>
      <c r="H315" t="s">
        <v>22</v>
      </c>
    </row>
    <row r="316" spans="7:8">
      <c r="G316" s="62" t="s">
        <v>377</v>
      </c>
      <c r="H316" t="s">
        <v>23</v>
      </c>
    </row>
    <row r="317" spans="7:8">
      <c r="G317" s="62" t="s">
        <v>378</v>
      </c>
      <c r="H317" t="s">
        <v>23</v>
      </c>
    </row>
    <row r="318" spans="7:8">
      <c r="G318" s="62" t="s">
        <v>373</v>
      </c>
      <c r="H318" t="s">
        <v>24</v>
      </c>
    </row>
    <row r="319" spans="7:8">
      <c r="G319" s="62" t="s">
        <v>379</v>
      </c>
      <c r="H319" t="s">
        <v>27</v>
      </c>
    </row>
    <row r="320" spans="7:8">
      <c r="G320" s="62" t="s">
        <v>380</v>
      </c>
      <c r="H320" t="s">
        <v>28</v>
      </c>
    </row>
    <row r="321" spans="7:8">
      <c r="G321" s="62" t="s">
        <v>381</v>
      </c>
      <c r="H321" t="s">
        <v>22</v>
      </c>
    </row>
    <row r="322" spans="7:8">
      <c r="G322" s="62" t="s">
        <v>382</v>
      </c>
      <c r="H322" t="s">
        <v>24</v>
      </c>
    </row>
    <row r="323" spans="7:8">
      <c r="G323" s="62" t="s">
        <v>383</v>
      </c>
      <c r="H323" t="s">
        <v>18</v>
      </c>
    </row>
    <row r="324" spans="7:8">
      <c r="G324" s="62" t="s">
        <v>384</v>
      </c>
      <c r="H324" t="s">
        <v>27</v>
      </c>
    </row>
    <row r="325" spans="7:8">
      <c r="G325" s="62" t="s">
        <v>385</v>
      </c>
      <c r="H325" t="s">
        <v>24</v>
      </c>
    </row>
    <row r="326" spans="7:8">
      <c r="G326" s="62" t="s">
        <v>386</v>
      </c>
      <c r="H326" t="s">
        <v>27</v>
      </c>
    </row>
    <row r="327" spans="7:8">
      <c r="G327" s="62" t="s">
        <v>387</v>
      </c>
      <c r="H327" t="s">
        <v>28</v>
      </c>
    </row>
    <row r="328" spans="7:8">
      <c r="G328" s="62" t="s">
        <v>388</v>
      </c>
      <c r="H328" t="s">
        <v>23</v>
      </c>
    </row>
    <row r="329" spans="7:8">
      <c r="G329" s="62" t="s">
        <v>389</v>
      </c>
      <c r="H329" t="s">
        <v>26</v>
      </c>
    </row>
    <row r="330" spans="7:8">
      <c r="G330" s="62" t="s">
        <v>390</v>
      </c>
      <c r="H330" t="s">
        <v>32</v>
      </c>
    </row>
    <row r="331" spans="7:8">
      <c r="G331" s="62" t="s">
        <v>391</v>
      </c>
      <c r="H331" t="s">
        <v>25</v>
      </c>
    </row>
    <row r="332" spans="7:8">
      <c r="G332" s="62" t="s">
        <v>392</v>
      </c>
      <c r="H332" t="s">
        <v>21</v>
      </c>
    </row>
    <row r="333" spans="7:8">
      <c r="G333" s="62" t="s">
        <v>395</v>
      </c>
      <c r="H333" t="s">
        <v>25</v>
      </c>
    </row>
    <row r="334" spans="7:8">
      <c r="G334" s="62" t="s">
        <v>396</v>
      </c>
      <c r="H334" t="s">
        <v>19</v>
      </c>
    </row>
    <row r="335" spans="7:8">
      <c r="G335" s="62" t="s">
        <v>397</v>
      </c>
      <c r="H335" t="s">
        <v>28</v>
      </c>
    </row>
    <row r="336" spans="7:8">
      <c r="G336" s="62" t="s">
        <v>398</v>
      </c>
      <c r="H336" t="s">
        <v>27</v>
      </c>
    </row>
    <row r="337" spans="7:8">
      <c r="G337" s="62" t="s">
        <v>399</v>
      </c>
      <c r="H337" t="s">
        <v>35</v>
      </c>
    </row>
    <row r="338" spans="7:8">
      <c r="G338" s="62" t="s">
        <v>400</v>
      </c>
      <c r="H338" t="s">
        <v>20</v>
      </c>
    </row>
    <row r="339" spans="7:8">
      <c r="G339" s="62" t="s">
        <v>401</v>
      </c>
      <c r="H339" t="s">
        <v>19</v>
      </c>
    </row>
    <row r="340" spans="7:8">
      <c r="G340" s="62" t="s">
        <v>402</v>
      </c>
      <c r="H340" t="s">
        <v>28</v>
      </c>
    </row>
    <row r="341" spans="7:8">
      <c r="G341" s="62" t="s">
        <v>403</v>
      </c>
      <c r="H341" t="s">
        <v>30</v>
      </c>
    </row>
    <row r="342" spans="7:8">
      <c r="G342" s="65" t="s">
        <v>404</v>
      </c>
      <c r="H342" t="s">
        <v>25</v>
      </c>
    </row>
    <row r="343" spans="7:8">
      <c r="G343" s="65" t="s">
        <v>405</v>
      </c>
      <c r="H343" t="s">
        <v>28</v>
      </c>
    </row>
    <row r="344" spans="7:8">
      <c r="G344" s="62" t="s">
        <v>406</v>
      </c>
      <c r="H344" t="s">
        <v>35</v>
      </c>
    </row>
    <row r="345" spans="7:8">
      <c r="G345" s="62" t="s">
        <v>407</v>
      </c>
      <c r="H345" t="s">
        <v>35</v>
      </c>
    </row>
    <row r="346" spans="7:8">
      <c r="G346" s="62" t="s">
        <v>393</v>
      </c>
      <c r="H346" t="s">
        <v>26</v>
      </c>
    </row>
    <row r="347" spans="7:8">
      <c r="G347" s="62" t="s">
        <v>394</v>
      </c>
      <c r="H347" t="s">
        <v>24</v>
      </c>
    </row>
    <row r="348" spans="7:8">
      <c r="G348" s="61" t="s">
        <v>408</v>
      </c>
      <c r="H348" t="s">
        <v>18</v>
      </c>
    </row>
    <row r="349" spans="7:8">
      <c r="G349" s="61" t="s">
        <v>409</v>
      </c>
      <c r="H349" t="s">
        <v>18</v>
      </c>
    </row>
    <row r="350" spans="7:8">
      <c r="G350" s="61" t="s">
        <v>410</v>
      </c>
      <c r="H350" t="s">
        <v>18</v>
      </c>
    </row>
    <row r="351" spans="7:8">
      <c r="G351" s="61" t="s">
        <v>411</v>
      </c>
      <c r="H351" t="s">
        <v>18</v>
      </c>
    </row>
    <row r="352" spans="7:8">
      <c r="G352" s="61" t="s">
        <v>412</v>
      </c>
      <c r="H352" t="s">
        <v>18</v>
      </c>
    </row>
    <row r="353" spans="7:8">
      <c r="G353" s="61" t="s">
        <v>413</v>
      </c>
      <c r="H353" t="s">
        <v>18</v>
      </c>
    </row>
    <row r="354" spans="7:8">
      <c r="G354" s="61" t="s">
        <v>414</v>
      </c>
      <c r="H354" t="s">
        <v>18</v>
      </c>
    </row>
    <row r="355" spans="7:8">
      <c r="G355" s="61" t="s">
        <v>415</v>
      </c>
      <c r="H355" t="s">
        <v>18</v>
      </c>
    </row>
    <row r="356" spans="7:8">
      <c r="G356" s="61" t="s">
        <v>416</v>
      </c>
      <c r="H356" t="s">
        <v>18</v>
      </c>
    </row>
    <row r="357" spans="7:8">
      <c r="G357" s="61" t="s">
        <v>412</v>
      </c>
      <c r="H357" t="s">
        <v>18</v>
      </c>
    </row>
    <row r="358" spans="7:8">
      <c r="G358" s="61" t="s">
        <v>417</v>
      </c>
      <c r="H358" t="s">
        <v>19</v>
      </c>
    </row>
    <row r="359" spans="7:8">
      <c r="G359" s="62" t="s">
        <v>418</v>
      </c>
      <c r="H359" t="s">
        <v>26</v>
      </c>
    </row>
    <row r="360" spans="7:8">
      <c r="G360" s="62" t="s">
        <v>419</v>
      </c>
      <c r="H360" t="s">
        <v>25</v>
      </c>
    </row>
    <row r="361" spans="7:8">
      <c r="G361" s="62" t="s">
        <v>420</v>
      </c>
      <c r="H361" t="s">
        <v>18</v>
      </c>
    </row>
    <row r="362" spans="7:8">
      <c r="G362" s="62" t="s">
        <v>421</v>
      </c>
      <c r="H362" t="s">
        <v>28</v>
      </c>
    </row>
    <row r="363" spans="7:8">
      <c r="G363" s="62" t="s">
        <v>423</v>
      </c>
      <c r="H363" t="s">
        <v>32</v>
      </c>
    </row>
    <row r="364" spans="7:8">
      <c r="G364" s="62" t="s">
        <v>422</v>
      </c>
      <c r="H364" t="s">
        <v>26</v>
      </c>
    </row>
    <row r="365" spans="7:8">
      <c r="G365" s="62" t="s">
        <v>424</v>
      </c>
      <c r="H365" t="s">
        <v>26</v>
      </c>
    </row>
    <row r="366" spans="7:8">
      <c r="G366" s="62" t="s">
        <v>425</v>
      </c>
      <c r="H366" t="s">
        <v>27</v>
      </c>
    </row>
    <row r="367" spans="7:8">
      <c r="G367" s="62" t="s">
        <v>426</v>
      </c>
      <c r="H367" t="s">
        <v>32</v>
      </c>
    </row>
    <row r="368" spans="7:8">
      <c r="G368" s="62" t="s">
        <v>427</v>
      </c>
      <c r="H368" t="s">
        <v>32</v>
      </c>
    </row>
    <row r="369" spans="7:8">
      <c r="G369" s="62" t="s">
        <v>428</v>
      </c>
      <c r="H369" t="s">
        <v>32</v>
      </c>
    </row>
    <row r="370" spans="7:8">
      <c r="G370" s="62" t="s">
        <v>429</v>
      </c>
      <c r="H370" t="s">
        <v>28</v>
      </c>
    </row>
    <row r="371" spans="7:8">
      <c r="G371" s="62" t="s">
        <v>430</v>
      </c>
      <c r="H371" t="s">
        <v>32</v>
      </c>
    </row>
    <row r="372" spans="7:8">
      <c r="G372" s="62" t="s">
        <v>431</v>
      </c>
      <c r="H372" t="s">
        <v>28</v>
      </c>
    </row>
    <row r="373" spans="7:8">
      <c r="G373" s="62" t="s">
        <v>432</v>
      </c>
      <c r="H373" t="s">
        <v>32</v>
      </c>
    </row>
    <row r="374" spans="7:8">
      <c r="G374" s="62" t="s">
        <v>433</v>
      </c>
      <c r="H374" t="s">
        <v>18</v>
      </c>
    </row>
    <row r="375" spans="7:8">
      <c r="G375" s="62" t="s">
        <v>434</v>
      </c>
      <c r="H375" t="s">
        <v>18</v>
      </c>
    </row>
    <row r="376" spans="7:8">
      <c r="G376" s="62" t="s">
        <v>435</v>
      </c>
      <c r="H376" t="s">
        <v>18</v>
      </c>
    </row>
    <row r="377" spans="7:8">
      <c r="G377" s="62" t="s">
        <v>436</v>
      </c>
      <c r="H377" t="s">
        <v>18</v>
      </c>
    </row>
    <row r="378" spans="7:8">
      <c r="G378" s="62" t="s">
        <v>437</v>
      </c>
      <c r="H378" t="s">
        <v>18</v>
      </c>
    </row>
    <row r="379" spans="7:8">
      <c r="G379" s="62" t="s">
        <v>438</v>
      </c>
      <c r="H379" t="s">
        <v>18</v>
      </c>
    </row>
    <row r="380" spans="7:8">
      <c r="G380" s="62" t="s">
        <v>439</v>
      </c>
      <c r="H380" t="s">
        <v>18</v>
      </c>
    </row>
    <row r="381" spans="7:8">
      <c r="G381" s="62" t="s">
        <v>440</v>
      </c>
      <c r="H381" t="s">
        <v>39</v>
      </c>
    </row>
    <row r="382" spans="7:8">
      <c r="G382" s="66" t="s">
        <v>441</v>
      </c>
      <c r="H382" t="s">
        <v>18</v>
      </c>
    </row>
    <row r="383" spans="7:8">
      <c r="G383" s="66" t="s">
        <v>442</v>
      </c>
      <c r="H383" t="s">
        <v>18</v>
      </c>
    </row>
    <row r="384" spans="7:8">
      <c r="G384" s="66" t="s">
        <v>443</v>
      </c>
      <c r="H384" t="s">
        <v>18</v>
      </c>
    </row>
    <row r="385" spans="7:8">
      <c r="G385" s="66" t="s">
        <v>444</v>
      </c>
      <c r="H385" t="s">
        <v>18</v>
      </c>
    </row>
    <row r="386" spans="7:8">
      <c r="G386" s="66" t="s">
        <v>444</v>
      </c>
      <c r="H386" t="s">
        <v>18</v>
      </c>
    </row>
    <row r="387" spans="7:8">
      <c r="G387" s="66" t="s">
        <v>444</v>
      </c>
      <c r="H387" t="s">
        <v>18</v>
      </c>
    </row>
    <row r="388" spans="7:8">
      <c r="G388" s="66" t="s">
        <v>445</v>
      </c>
      <c r="H388" t="s">
        <v>18</v>
      </c>
    </row>
    <row r="389" spans="7:8">
      <c r="G389" s="66" t="s">
        <v>446</v>
      </c>
      <c r="H389" t="s">
        <v>18</v>
      </c>
    </row>
    <row r="390" spans="7:8">
      <c r="G390" s="66" t="s">
        <v>447</v>
      </c>
      <c r="H390" t="s">
        <v>18</v>
      </c>
    </row>
    <row r="391" spans="7:8">
      <c r="G391" s="66" t="s">
        <v>448</v>
      </c>
      <c r="H391" t="s">
        <v>18</v>
      </c>
    </row>
    <row r="392" spans="7:8">
      <c r="G392" s="66" t="s">
        <v>449</v>
      </c>
      <c r="H392" t="s">
        <v>18</v>
      </c>
    </row>
    <row r="393" spans="7:8">
      <c r="G393" s="66" t="s">
        <v>450</v>
      </c>
      <c r="H393" t="s">
        <v>18</v>
      </c>
    </row>
    <row r="394" spans="7:8">
      <c r="G394" s="66" t="s">
        <v>451</v>
      </c>
      <c r="H394" t="s">
        <v>18</v>
      </c>
    </row>
    <row r="395" spans="7:8">
      <c r="G395" s="66" t="s">
        <v>452</v>
      </c>
      <c r="H395" t="s">
        <v>18</v>
      </c>
    </row>
    <row r="396" spans="7:8">
      <c r="G396" s="66" t="s">
        <v>453</v>
      </c>
      <c r="H396" t="s">
        <v>18</v>
      </c>
    </row>
    <row r="397" spans="7:8">
      <c r="G397" s="66" t="s">
        <v>446</v>
      </c>
      <c r="H397" t="s">
        <v>18</v>
      </c>
    </row>
    <row r="398" spans="7:8">
      <c r="G398" s="66" t="s">
        <v>454</v>
      </c>
      <c r="H398" t="s">
        <v>18</v>
      </c>
    </row>
    <row r="399" spans="7:8">
      <c r="G399" s="66" t="s">
        <v>455</v>
      </c>
      <c r="H399" t="s">
        <v>18</v>
      </c>
    </row>
    <row r="400" spans="7:8">
      <c r="G400" s="66" t="s">
        <v>446</v>
      </c>
      <c r="H400" t="s">
        <v>18</v>
      </c>
    </row>
    <row r="401" spans="7:8">
      <c r="G401" s="66" t="s">
        <v>456</v>
      </c>
      <c r="H401" t="s">
        <v>18</v>
      </c>
    </row>
    <row r="402" spans="7:8">
      <c r="G402" s="66" t="s">
        <v>457</v>
      </c>
      <c r="H402" t="s">
        <v>18</v>
      </c>
    </row>
    <row r="403" spans="7:8">
      <c r="G403" s="66" t="s">
        <v>457</v>
      </c>
      <c r="H403" t="s">
        <v>18</v>
      </c>
    </row>
    <row r="404" spans="7:8">
      <c r="G404" s="66" t="s">
        <v>457</v>
      </c>
      <c r="H404" t="s">
        <v>18</v>
      </c>
    </row>
    <row r="405" spans="7:8">
      <c r="G405" s="66" t="s">
        <v>458</v>
      </c>
      <c r="H405" t="s">
        <v>32</v>
      </c>
    </row>
    <row r="406" spans="7:8">
      <c r="G406" s="66" t="s">
        <v>459</v>
      </c>
      <c r="H406" t="s">
        <v>18</v>
      </c>
    </row>
    <row r="407" spans="7:8">
      <c r="G407" s="66" t="s">
        <v>460</v>
      </c>
      <c r="H407" t="s">
        <v>22</v>
      </c>
    </row>
    <row r="408" spans="7:8">
      <c r="G408" s="61" t="s">
        <v>461</v>
      </c>
      <c r="H408" t="s">
        <v>22</v>
      </c>
    </row>
    <row r="409" spans="7:8">
      <c r="G409" s="62" t="s">
        <v>462</v>
      </c>
      <c r="H409" t="s">
        <v>26</v>
      </c>
    </row>
    <row r="410" spans="7:8">
      <c r="G410" s="62" t="s">
        <v>463</v>
      </c>
      <c r="H410" t="s">
        <v>32</v>
      </c>
    </row>
    <row r="411" spans="7:8">
      <c r="G411" s="62" t="s">
        <v>464</v>
      </c>
      <c r="H411" t="s">
        <v>39</v>
      </c>
    </row>
    <row r="412" spans="7:8">
      <c r="G412" s="62" t="s">
        <v>465</v>
      </c>
      <c r="H412" t="s">
        <v>19</v>
      </c>
    </row>
    <row r="413" spans="7:8">
      <c r="G413" s="62" t="s">
        <v>466</v>
      </c>
      <c r="H413" t="s">
        <v>24</v>
      </c>
    </row>
    <row r="414" spans="7:8">
      <c r="G414" s="62" t="s">
        <v>467</v>
      </c>
      <c r="H414" t="s">
        <v>26</v>
      </c>
    </row>
    <row r="415" spans="7:8">
      <c r="G415" s="62" t="s">
        <v>468</v>
      </c>
      <c r="H415" t="s">
        <v>34</v>
      </c>
    </row>
    <row r="416" spans="7:8">
      <c r="G416" s="62" t="s">
        <v>469</v>
      </c>
      <c r="H416" t="s">
        <v>32</v>
      </c>
    </row>
    <row r="417" spans="7:8">
      <c r="G417" s="61" t="s">
        <v>470</v>
      </c>
      <c r="H417" t="s">
        <v>18</v>
      </c>
    </row>
    <row r="418" spans="7:8">
      <c r="G418" s="67" t="s">
        <v>471</v>
      </c>
      <c r="H418" t="s">
        <v>28</v>
      </c>
    </row>
    <row r="419" spans="7:8">
      <c r="G419" s="61" t="s">
        <v>472</v>
      </c>
      <c r="H419" t="s">
        <v>18</v>
      </c>
    </row>
    <row r="420" spans="7:8">
      <c r="G420" s="61" t="s">
        <v>473</v>
      </c>
      <c r="H420" t="s">
        <v>22</v>
      </c>
    </row>
    <row r="421" spans="7:8">
      <c r="G421" s="61" t="s">
        <v>472</v>
      </c>
      <c r="H421" t="s">
        <v>18</v>
      </c>
    </row>
    <row r="422" spans="7:8">
      <c r="G422" s="61" t="s">
        <v>474</v>
      </c>
      <c r="H422" t="s">
        <v>18</v>
      </c>
    </row>
    <row r="423" spans="7:8">
      <c r="G423" s="61" t="s">
        <v>475</v>
      </c>
      <c r="H423" t="s">
        <v>18</v>
      </c>
    </row>
    <row r="424" spans="7:8">
      <c r="G424" s="61" t="s">
        <v>476</v>
      </c>
      <c r="H424" t="s">
        <v>32</v>
      </c>
    </row>
    <row r="425" spans="7:8">
      <c r="G425" s="61" t="s">
        <v>477</v>
      </c>
      <c r="H425" t="s">
        <v>26</v>
      </c>
    </row>
    <row r="426" spans="7:8">
      <c r="G426" s="61" t="s">
        <v>478</v>
      </c>
      <c r="H426" t="s">
        <v>26</v>
      </c>
    </row>
    <row r="427" spans="7:8">
      <c r="G427" s="61" t="s">
        <v>479</v>
      </c>
      <c r="H427" t="s">
        <v>32</v>
      </c>
    </row>
    <row r="428" spans="7:8">
      <c r="G428" s="61" t="s">
        <v>480</v>
      </c>
      <c r="H428" t="s">
        <v>22</v>
      </c>
    </row>
    <row r="429" spans="7:8">
      <c r="G429" s="62" t="s">
        <v>481</v>
      </c>
      <c r="H429" t="s">
        <v>25</v>
      </c>
    </row>
    <row r="430" spans="7:8">
      <c r="G430" s="62" t="s">
        <v>482</v>
      </c>
      <c r="H430" t="s">
        <v>32</v>
      </c>
    </row>
    <row r="431" spans="7:8">
      <c r="G431" s="62" t="s">
        <v>483</v>
      </c>
      <c r="H431" t="s">
        <v>32</v>
      </c>
    </row>
    <row r="432" spans="7:8">
      <c r="G432" s="62" t="s">
        <v>484</v>
      </c>
      <c r="H432" t="s">
        <v>32</v>
      </c>
    </row>
    <row r="433" spans="7:8">
      <c r="G433" s="61" t="s">
        <v>485</v>
      </c>
      <c r="H433" t="s">
        <v>28</v>
      </c>
    </row>
    <row r="434" spans="7:8">
      <c r="G434" s="61" t="s">
        <v>486</v>
      </c>
      <c r="H434" t="s">
        <v>28</v>
      </c>
    </row>
    <row r="435" spans="7:8">
      <c r="G435" s="61" t="s">
        <v>487</v>
      </c>
      <c r="H435" t="s">
        <v>28</v>
      </c>
    </row>
    <row r="436" spans="7:8">
      <c r="G436" s="62" t="s">
        <v>488</v>
      </c>
      <c r="H436" t="s">
        <v>27</v>
      </c>
    </row>
    <row r="437" spans="7:8">
      <c r="G437" s="62" t="s">
        <v>489</v>
      </c>
      <c r="H437" t="s">
        <v>28</v>
      </c>
    </row>
    <row r="438" spans="7:8">
      <c r="G438" s="62" t="s">
        <v>490</v>
      </c>
      <c r="H438" t="s">
        <v>26</v>
      </c>
    </row>
    <row r="439" spans="7:8">
      <c r="G439" s="61" t="s">
        <v>493</v>
      </c>
      <c r="H439" t="s">
        <v>26</v>
      </c>
    </row>
    <row r="440" spans="7:8">
      <c r="G440" s="61" t="s">
        <v>494</v>
      </c>
      <c r="H440" t="s">
        <v>21</v>
      </c>
    </row>
    <row r="441" spans="7:8">
      <c r="G441" s="62" t="s">
        <v>492</v>
      </c>
      <c r="H441" t="s">
        <v>18</v>
      </c>
    </row>
    <row r="442" spans="7:8">
      <c r="G442" s="61" t="s">
        <v>495</v>
      </c>
      <c r="H442" t="s">
        <v>19</v>
      </c>
    </row>
    <row r="443" spans="7:8">
      <c r="G443" s="61" t="s">
        <v>501</v>
      </c>
      <c r="H443" t="s">
        <v>19</v>
      </c>
    </row>
    <row r="444" spans="7:8">
      <c r="G444" s="62" t="s">
        <v>500</v>
      </c>
      <c r="H444" t="s">
        <v>28</v>
      </c>
    </row>
    <row r="445" spans="7:8">
      <c r="G445" s="62" t="s">
        <v>498</v>
      </c>
      <c r="H445" t="s">
        <v>26</v>
      </c>
    </row>
    <row r="446" spans="7:8">
      <c r="G446" s="62" t="s">
        <v>499</v>
      </c>
      <c r="H446" t="s">
        <v>28</v>
      </c>
    </row>
    <row r="447" spans="7:8">
      <c r="G447" s="62" t="s">
        <v>497</v>
      </c>
      <c r="H447" t="s">
        <v>26</v>
      </c>
    </row>
    <row r="448" spans="7:8">
      <c r="G448" s="62" t="s">
        <v>496</v>
      </c>
      <c r="H448" t="s">
        <v>19</v>
      </c>
    </row>
    <row r="449" spans="7:8">
      <c r="G449" s="62" t="s">
        <v>502</v>
      </c>
      <c r="H449" t="s">
        <v>27</v>
      </c>
    </row>
    <row r="450" spans="7:8">
      <c r="G450" s="62" t="s">
        <v>503</v>
      </c>
      <c r="H450" t="s">
        <v>19</v>
      </c>
    </row>
    <row r="451" spans="7:8">
      <c r="G451" s="62" t="s">
        <v>504</v>
      </c>
      <c r="H451" t="s">
        <v>35</v>
      </c>
    </row>
    <row r="452" spans="7:8">
      <c r="G452" s="62" t="s">
        <v>505</v>
      </c>
      <c r="H452" t="s">
        <v>5</v>
      </c>
    </row>
    <row r="453" spans="7:8">
      <c r="G453" s="62" t="s">
        <v>506</v>
      </c>
      <c r="H453" t="s">
        <v>5</v>
      </c>
    </row>
    <row r="454" spans="7:8">
      <c r="G454" s="62" t="s">
        <v>507</v>
      </c>
      <c r="H454" t="s">
        <v>19</v>
      </c>
    </row>
    <row r="455" spans="7:8">
      <c r="G455" s="62" t="s">
        <v>508</v>
      </c>
      <c r="H455" t="s">
        <v>26</v>
      </c>
    </row>
    <row r="456" spans="7:8">
      <c r="G456" s="62" t="s">
        <v>509</v>
      </c>
      <c r="H456" t="s">
        <v>22</v>
      </c>
    </row>
    <row r="457" spans="7:8">
      <c r="G457" s="62" t="s">
        <v>510</v>
      </c>
      <c r="H457" t="s">
        <v>26</v>
      </c>
    </row>
    <row r="458" spans="7:8">
      <c r="G458" s="62" t="s">
        <v>511</v>
      </c>
      <c r="H458" t="s">
        <v>24</v>
      </c>
    </row>
    <row r="459" spans="7:8">
      <c r="G459" s="62" t="s">
        <v>512</v>
      </c>
      <c r="H459" t="s">
        <v>32</v>
      </c>
    </row>
    <row r="460" spans="7:8">
      <c r="G460" s="65" t="s">
        <v>513</v>
      </c>
      <c r="H460" t="s">
        <v>23</v>
      </c>
    </row>
    <row r="461" spans="7:8">
      <c r="G461" s="62" t="s">
        <v>515</v>
      </c>
      <c r="H461" t="s">
        <v>28</v>
      </c>
    </row>
    <row r="462" spans="7:8">
      <c r="G462" s="62" t="s">
        <v>516</v>
      </c>
      <c r="H462" t="s">
        <v>5</v>
      </c>
    </row>
    <row r="463" spans="7:8">
      <c r="G463" s="62" t="s">
        <v>517</v>
      </c>
      <c r="H463" t="s">
        <v>24</v>
      </c>
    </row>
    <row r="464" spans="7:8">
      <c r="G464" s="62" t="s">
        <v>518</v>
      </c>
      <c r="H464" t="s">
        <v>22</v>
      </c>
    </row>
    <row r="465" spans="7:8">
      <c r="G465" s="62" t="s">
        <v>519</v>
      </c>
      <c r="H465" t="s">
        <v>27</v>
      </c>
    </row>
    <row r="466" spans="7:8">
      <c r="G466" s="62" t="s">
        <v>520</v>
      </c>
      <c r="H466" t="s">
        <v>24</v>
      </c>
    </row>
    <row r="467" spans="7:8">
      <c r="G467" s="62" t="s">
        <v>521</v>
      </c>
      <c r="H467" t="s">
        <v>28</v>
      </c>
    </row>
    <row r="468" spans="7:8">
      <c r="G468" s="62" t="s">
        <v>522</v>
      </c>
      <c r="H468" t="s">
        <v>22</v>
      </c>
    </row>
    <row r="469" spans="7:8">
      <c r="G469" s="52" t="s">
        <v>526</v>
      </c>
      <c r="H469" t="s">
        <v>25</v>
      </c>
    </row>
    <row r="470" spans="7:8">
      <c r="G470" s="52" t="s">
        <v>527</v>
      </c>
      <c r="H470" t="s">
        <v>22</v>
      </c>
    </row>
    <row r="471" spans="7:8">
      <c r="G471" s="52" t="s">
        <v>528</v>
      </c>
      <c r="H471" t="s">
        <v>23</v>
      </c>
    </row>
    <row r="472" spans="7:8">
      <c r="G472" s="52" t="s">
        <v>523</v>
      </c>
      <c r="H472" s="68" t="s">
        <v>19</v>
      </c>
    </row>
    <row r="473" spans="7:8">
      <c r="G473" s="52" t="s">
        <v>524</v>
      </c>
      <c r="H473" t="s">
        <v>18</v>
      </c>
    </row>
    <row r="474" spans="7:8">
      <c r="G474" s="52" t="s">
        <v>525</v>
      </c>
      <c r="H474" t="s">
        <v>28</v>
      </c>
    </row>
    <row r="475" spans="7:8">
      <c r="G475" t="s">
        <v>529</v>
      </c>
      <c r="H475" t="s">
        <v>26</v>
      </c>
    </row>
    <row r="476" spans="7:8">
      <c r="G476" t="s">
        <v>530</v>
      </c>
      <c r="H476" t="s">
        <v>28</v>
      </c>
    </row>
    <row r="477" spans="7:8">
      <c r="G477" s="52" t="s">
        <v>531</v>
      </c>
      <c r="H477" t="s">
        <v>28</v>
      </c>
    </row>
    <row r="478" spans="7:8">
      <c r="G478" s="52" t="s">
        <v>532</v>
      </c>
      <c r="H478" t="s">
        <v>39</v>
      </c>
    </row>
    <row r="479" spans="7:8">
      <c r="G479" s="52" t="s">
        <v>533</v>
      </c>
      <c r="H479" t="s">
        <v>5</v>
      </c>
    </row>
    <row r="480" spans="7:8">
      <c r="G480" s="52" t="s">
        <v>534</v>
      </c>
      <c r="H480" t="s">
        <v>5</v>
      </c>
    </row>
    <row r="481" spans="7:8">
      <c r="G481" s="52" t="s">
        <v>535</v>
      </c>
      <c r="H481" t="s">
        <v>32</v>
      </c>
    </row>
    <row r="482" spans="7:8">
      <c r="G482" s="52" t="s">
        <v>536</v>
      </c>
      <c r="H482" t="s">
        <v>39</v>
      </c>
    </row>
    <row r="483" spans="7:8">
      <c r="G483" s="52" t="s">
        <v>537</v>
      </c>
      <c r="H483" t="s">
        <v>39</v>
      </c>
    </row>
    <row r="484" spans="7:8">
      <c r="G484" s="52" t="s">
        <v>538</v>
      </c>
      <c r="H484" t="s">
        <v>30</v>
      </c>
    </row>
    <row r="485" spans="7:8">
      <c r="G485" s="52" t="s">
        <v>539</v>
      </c>
      <c r="H485" t="s">
        <v>32</v>
      </c>
    </row>
    <row r="486" spans="7:8">
      <c r="G486" s="52" t="s">
        <v>540</v>
      </c>
      <c r="H486" t="s">
        <v>24</v>
      </c>
    </row>
    <row r="487" spans="7:8">
      <c r="G487" s="52" t="s">
        <v>541</v>
      </c>
      <c r="H487" t="s">
        <v>28</v>
      </c>
    </row>
    <row r="488" spans="7:8">
      <c r="G488" s="52" t="s">
        <v>542</v>
      </c>
      <c r="H488" t="s">
        <v>20</v>
      </c>
    </row>
    <row r="489" spans="7:8">
      <c r="G489" s="52" t="s">
        <v>543</v>
      </c>
      <c r="H489" t="s">
        <v>18</v>
      </c>
    </row>
    <row r="490" spans="7:8">
      <c r="G490" s="52" t="s">
        <v>544</v>
      </c>
      <c r="H490" t="s">
        <v>19</v>
      </c>
    </row>
    <row r="491" spans="7:8">
      <c r="G491" s="52" t="s">
        <v>545</v>
      </c>
      <c r="H491" t="s">
        <v>22</v>
      </c>
    </row>
    <row r="492" spans="7:8">
      <c r="G492" s="52" t="s">
        <v>546</v>
      </c>
      <c r="H492" t="s">
        <v>22</v>
      </c>
    </row>
    <row r="493" spans="7:8">
      <c r="G493" s="52" t="s">
        <v>547</v>
      </c>
      <c r="H493" t="s">
        <v>22</v>
      </c>
    </row>
    <row r="494" spans="7:8">
      <c r="G494" t="s">
        <v>548</v>
      </c>
      <c r="H494" t="s">
        <v>22</v>
      </c>
    </row>
    <row r="495" spans="7:8">
      <c r="G495" s="52" t="s">
        <v>549</v>
      </c>
      <c r="H495" t="s">
        <v>28</v>
      </c>
    </row>
    <row r="496" spans="7:8">
      <c r="G496" s="52" t="s">
        <v>550</v>
      </c>
      <c r="H496" t="s">
        <v>18</v>
      </c>
    </row>
    <row r="497" spans="7:8">
      <c r="G497" s="52" t="s">
        <v>551</v>
      </c>
      <c r="H497" t="s">
        <v>18</v>
      </c>
    </row>
    <row r="498" spans="7:8">
      <c r="G498" s="52" t="s">
        <v>552</v>
      </c>
      <c r="H498" t="s">
        <v>18</v>
      </c>
    </row>
    <row r="499" spans="7:8">
      <c r="G499" s="52" t="s">
        <v>553</v>
      </c>
      <c r="H499" t="s">
        <v>18</v>
      </c>
    </row>
    <row r="500" spans="7:8">
      <c r="G500" s="52" t="s">
        <v>554</v>
      </c>
      <c r="H500" t="s">
        <v>18</v>
      </c>
    </row>
    <row r="501" spans="7:8">
      <c r="G501" s="52" t="s">
        <v>555</v>
      </c>
      <c r="H501" t="s">
        <v>18</v>
      </c>
    </row>
    <row r="502" spans="7:8">
      <c r="G502" s="52" t="s">
        <v>556</v>
      </c>
      <c r="H502" t="s">
        <v>18</v>
      </c>
    </row>
    <row r="503" spans="7:8">
      <c r="G503" s="52" t="s">
        <v>557</v>
      </c>
      <c r="H503" t="s">
        <v>18</v>
      </c>
    </row>
    <row r="504" spans="7:8">
      <c r="G504" s="52" t="s">
        <v>558</v>
      </c>
      <c r="H504" t="s">
        <v>18</v>
      </c>
    </row>
    <row r="505" spans="7:8">
      <c r="G505" s="52" t="s">
        <v>559</v>
      </c>
      <c r="H505" t="s">
        <v>18</v>
      </c>
    </row>
    <row r="506" spans="7:8">
      <c r="G506" s="52" t="s">
        <v>560</v>
      </c>
      <c r="H506" t="s">
        <v>18</v>
      </c>
    </row>
    <row r="507" spans="7:8">
      <c r="G507" s="52" t="s">
        <v>561</v>
      </c>
      <c r="H507" t="s">
        <v>18</v>
      </c>
    </row>
    <row r="508" spans="7:8">
      <c r="G508" s="52" t="s">
        <v>554</v>
      </c>
      <c r="H508" t="s">
        <v>18</v>
      </c>
    </row>
    <row r="509" spans="7:8">
      <c r="G509" s="52" t="s">
        <v>554</v>
      </c>
      <c r="H509" t="s">
        <v>18</v>
      </c>
    </row>
    <row r="510" spans="7:8">
      <c r="G510" s="52" t="s">
        <v>556</v>
      </c>
      <c r="H510" t="s">
        <v>18</v>
      </c>
    </row>
    <row r="511" spans="7:8">
      <c r="G511" s="52" t="s">
        <v>554</v>
      </c>
      <c r="H511" t="s">
        <v>18</v>
      </c>
    </row>
    <row r="512" spans="7:8">
      <c r="G512" s="52" t="s">
        <v>562</v>
      </c>
      <c r="H512" t="s">
        <v>18</v>
      </c>
    </row>
    <row r="513" spans="7:8">
      <c r="G513" s="52" t="s">
        <v>563</v>
      </c>
      <c r="H513" t="s">
        <v>18</v>
      </c>
    </row>
    <row r="514" spans="7:8">
      <c r="G514" s="52" t="s">
        <v>564</v>
      </c>
      <c r="H514" t="s">
        <v>18</v>
      </c>
    </row>
    <row r="515" spans="7:8">
      <c r="G515" s="52" t="s">
        <v>565</v>
      </c>
      <c r="H515" t="s">
        <v>32</v>
      </c>
    </row>
    <row r="516" spans="7:8">
      <c r="G516" s="52" t="s">
        <v>566</v>
      </c>
      <c r="H516" t="s">
        <v>22</v>
      </c>
    </row>
    <row r="517" spans="7:8">
      <c r="G517" s="52" t="s">
        <v>567</v>
      </c>
      <c r="H517" t="s">
        <v>26</v>
      </c>
    </row>
    <row r="518" spans="7:8">
      <c r="G518" t="s">
        <v>568</v>
      </c>
      <c r="H518" t="s">
        <v>28</v>
      </c>
    </row>
    <row r="519" spans="7:8">
      <c r="G519" s="52" t="s">
        <v>569</v>
      </c>
      <c r="H519" t="s">
        <v>32</v>
      </c>
    </row>
    <row r="520" spans="7:8">
      <c r="G520" s="52" t="s">
        <v>570</v>
      </c>
      <c r="H520" t="s">
        <v>28</v>
      </c>
    </row>
    <row r="521" spans="7:8">
      <c r="G521" s="52" t="s">
        <v>571</v>
      </c>
      <c r="H521" t="s">
        <v>26</v>
      </c>
    </row>
    <row r="522" spans="7:8">
      <c r="G522" s="52" t="s">
        <v>572</v>
      </c>
      <c r="H522" t="s">
        <v>18</v>
      </c>
    </row>
    <row r="523" spans="7:8">
      <c r="G523" s="52" t="s">
        <v>573</v>
      </c>
      <c r="H523" t="s">
        <v>18</v>
      </c>
    </row>
    <row r="524" spans="7:8">
      <c r="G524" t="s">
        <v>574</v>
      </c>
      <c r="H524" t="s">
        <v>30</v>
      </c>
    </row>
    <row r="525" spans="7:8">
      <c r="G525" s="61" t="s">
        <v>575</v>
      </c>
      <c r="H525" t="s">
        <v>22</v>
      </c>
    </row>
    <row r="526" spans="7:8">
      <c r="G526" s="61" t="s">
        <v>576</v>
      </c>
      <c r="H526" t="s">
        <v>25</v>
      </c>
    </row>
    <row r="527" spans="7:8">
      <c r="G527" s="61" t="s">
        <v>577</v>
      </c>
      <c r="H527" t="s">
        <v>28</v>
      </c>
    </row>
    <row r="528" spans="7:8">
      <c r="G528" s="61" t="s">
        <v>578</v>
      </c>
      <c r="H528" t="s">
        <v>28</v>
      </c>
    </row>
    <row r="529" spans="7:8">
      <c r="G529" s="61" t="s">
        <v>579</v>
      </c>
      <c r="H529" t="s">
        <v>22</v>
      </c>
    </row>
    <row r="530" spans="7:8">
      <c r="G530" s="61" t="s">
        <v>580</v>
      </c>
      <c r="H530" t="s">
        <v>19</v>
      </c>
    </row>
    <row r="531" spans="7:8">
      <c r="G531" s="61" t="s">
        <v>581</v>
      </c>
      <c r="H531" t="s">
        <v>35</v>
      </c>
    </row>
    <row r="532" spans="7:8">
      <c r="G532" s="61" t="s">
        <v>582</v>
      </c>
      <c r="H532" t="s">
        <v>5</v>
      </c>
    </row>
    <row r="533" spans="7:8">
      <c r="G533" s="61" t="s">
        <v>583</v>
      </c>
      <c r="H533" t="s">
        <v>32</v>
      </c>
    </row>
    <row r="534" spans="7:8">
      <c r="G534" s="61" t="s">
        <v>584</v>
      </c>
      <c r="H534" t="s">
        <v>22</v>
      </c>
    </row>
    <row r="535" spans="7:8">
      <c r="G535" s="61" t="s">
        <v>585</v>
      </c>
      <c r="H535" t="s">
        <v>28</v>
      </c>
    </row>
    <row r="536" spans="7:8">
      <c r="G536" s="61" t="s">
        <v>586</v>
      </c>
      <c r="H536" t="s">
        <v>22</v>
      </c>
    </row>
    <row r="537" spans="7:8">
      <c r="G537" s="61" t="s">
        <v>587</v>
      </c>
      <c r="H537" t="s">
        <v>22</v>
      </c>
    </row>
    <row r="538" spans="7:8">
      <c r="G538" t="s">
        <v>588</v>
      </c>
      <c r="H538" t="s">
        <v>20</v>
      </c>
    </row>
    <row r="539" spans="7:8">
      <c r="G539" t="s">
        <v>589</v>
      </c>
      <c r="H539" t="s">
        <v>22</v>
      </c>
    </row>
    <row r="540" spans="7:8">
      <c r="G540" s="52" t="s">
        <v>590</v>
      </c>
      <c r="H540" t="s">
        <v>22</v>
      </c>
    </row>
    <row r="541" spans="7:8">
      <c r="G541" s="52" t="s">
        <v>591</v>
      </c>
      <c r="H541" t="s">
        <v>22</v>
      </c>
    </row>
    <row r="542" spans="7:8">
      <c r="G542" s="52" t="s">
        <v>592</v>
      </c>
      <c r="H542" t="s">
        <v>22</v>
      </c>
    </row>
    <row r="543" spans="7:8">
      <c r="G543" s="52" t="s">
        <v>592</v>
      </c>
      <c r="H543" t="s">
        <v>22</v>
      </c>
    </row>
    <row r="544" spans="7:8">
      <c r="G544" s="52" t="s">
        <v>593</v>
      </c>
      <c r="H544" t="s">
        <v>28</v>
      </c>
    </row>
    <row r="545" spans="7:8">
      <c r="G545" s="52" t="s">
        <v>594</v>
      </c>
      <c r="H545" t="s">
        <v>24</v>
      </c>
    </row>
    <row r="546" spans="7:8">
      <c r="G546" s="52" t="s">
        <v>595</v>
      </c>
      <c r="H546" t="s">
        <v>26</v>
      </c>
    </row>
    <row r="547" spans="7:8">
      <c r="G547" s="52" t="s">
        <v>596</v>
      </c>
      <c r="H547" t="s">
        <v>28</v>
      </c>
    </row>
    <row r="548" spans="7:8">
      <c r="G548" s="52" t="s">
        <v>597</v>
      </c>
      <c r="H548" t="s">
        <v>32</v>
      </c>
    </row>
    <row r="549" spans="7:8">
      <c r="G549" s="52" t="s">
        <v>598</v>
      </c>
      <c r="H549" t="s">
        <v>19</v>
      </c>
    </row>
    <row r="550" spans="7:8">
      <c r="G550" s="52" t="s">
        <v>599</v>
      </c>
      <c r="H550" t="s">
        <v>22</v>
      </c>
    </row>
    <row r="551" spans="7:8">
      <c r="G551" s="52" t="s">
        <v>600</v>
      </c>
      <c r="H551" t="s">
        <v>25</v>
      </c>
    </row>
    <row r="552" spans="7:8">
      <c r="G552" s="52" t="s">
        <v>601</v>
      </c>
      <c r="H552" t="s">
        <v>18</v>
      </c>
    </row>
    <row r="553" spans="7:8">
      <c r="G553" s="52" t="s">
        <v>602</v>
      </c>
      <c r="H553" t="s">
        <v>28</v>
      </c>
    </row>
    <row r="554" spans="7:8">
      <c r="G554" s="69" t="s">
        <v>605</v>
      </c>
      <c r="H554" t="s">
        <v>18</v>
      </c>
    </row>
    <row r="555" spans="7:8">
      <c r="G555" s="69" t="s">
        <v>606</v>
      </c>
      <c r="H555" t="s">
        <v>28</v>
      </c>
    </row>
    <row r="556" spans="7:8">
      <c r="G556" s="69" t="s">
        <v>607</v>
      </c>
      <c r="H556" t="s">
        <v>27</v>
      </c>
    </row>
    <row r="557" spans="7:8">
      <c r="G557" s="69" t="s">
        <v>608</v>
      </c>
      <c r="H557" t="s">
        <v>24</v>
      </c>
    </row>
    <row r="558" spans="7:8">
      <c r="G558" s="69" t="s">
        <v>609</v>
      </c>
      <c r="H558" t="s">
        <v>22</v>
      </c>
    </row>
    <row r="559" spans="7:8">
      <c r="G559" s="69" t="s">
        <v>610</v>
      </c>
      <c r="H559" t="s">
        <v>24</v>
      </c>
    </row>
    <row r="560" spans="7:8">
      <c r="G560" s="69" t="s">
        <v>621</v>
      </c>
      <c r="H560" t="s">
        <v>19</v>
      </c>
    </row>
    <row r="561" spans="7:8">
      <c r="G561" s="69" t="s">
        <v>622</v>
      </c>
      <c r="H561" t="s">
        <v>28</v>
      </c>
    </row>
    <row r="562" spans="7:8">
      <c r="G562" s="69" t="s">
        <v>623</v>
      </c>
      <c r="H562" t="s">
        <v>28</v>
      </c>
    </row>
    <row r="563" spans="7:8">
      <c r="G563" s="69" t="s">
        <v>624</v>
      </c>
      <c r="H563" t="s">
        <v>19</v>
      </c>
    </row>
    <row r="564" spans="7:8">
      <c r="G564" s="69" t="s">
        <v>625</v>
      </c>
      <c r="H564" t="s">
        <v>26</v>
      </c>
    </row>
    <row r="565" spans="7:8">
      <c r="G565" s="69" t="s">
        <v>628</v>
      </c>
      <c r="H565" t="s">
        <v>23</v>
      </c>
    </row>
    <row r="566" spans="7:8">
      <c r="G566" s="69" t="s">
        <v>629</v>
      </c>
      <c r="H566" t="s">
        <v>32</v>
      </c>
    </row>
    <row r="567" spans="7:8">
      <c r="G567" s="69" t="s">
        <v>630</v>
      </c>
      <c r="H567" t="s">
        <v>32</v>
      </c>
    </row>
    <row r="568" spans="7:8">
      <c r="G568" s="69" t="s">
        <v>631</v>
      </c>
      <c r="H568" t="s">
        <v>19</v>
      </c>
    </row>
    <row r="569" spans="7:8">
      <c r="G569" s="69" t="s">
        <v>632</v>
      </c>
      <c r="H569" t="s">
        <v>39</v>
      </c>
    </row>
    <row r="570" spans="7:8">
      <c r="G570" t="s">
        <v>633</v>
      </c>
      <c r="H570" t="s">
        <v>24</v>
      </c>
    </row>
    <row r="571" spans="7:8">
      <c r="G571" t="s">
        <v>634</v>
      </c>
      <c r="H571" t="s">
        <v>26</v>
      </c>
    </row>
    <row r="572" spans="7:8">
      <c r="G572" t="s">
        <v>635</v>
      </c>
      <c r="H572" t="s">
        <v>19</v>
      </c>
    </row>
    <row r="573" spans="7:8">
      <c r="G573" t="s">
        <v>636</v>
      </c>
      <c r="H573" t="s">
        <v>39</v>
      </c>
    </row>
    <row r="574" spans="7:8">
      <c r="G574" t="s">
        <v>637</v>
      </c>
      <c r="H574" t="s">
        <v>23</v>
      </c>
    </row>
    <row r="575" spans="7:8">
      <c r="G575" t="s">
        <v>638</v>
      </c>
      <c r="H575" t="s">
        <v>22</v>
      </c>
    </row>
    <row r="576" spans="7:8">
      <c r="G576" t="s">
        <v>639</v>
      </c>
      <c r="H576" t="s">
        <v>32</v>
      </c>
    </row>
    <row r="577" spans="7:8">
      <c r="G577" t="s">
        <v>640</v>
      </c>
      <c r="H577" t="s">
        <v>32</v>
      </c>
    </row>
    <row r="578" spans="7:8">
      <c r="G578" t="s">
        <v>641</v>
      </c>
      <c r="H578" t="s">
        <v>28</v>
      </c>
    </row>
    <row r="579" spans="7:8">
      <c r="G579" t="s">
        <v>642</v>
      </c>
      <c r="H579" t="s">
        <v>32</v>
      </c>
    </row>
    <row r="580" spans="7:8">
      <c r="G580" t="s">
        <v>643</v>
      </c>
      <c r="H580" t="s">
        <v>32</v>
      </c>
    </row>
    <row r="581" spans="7:8">
      <c r="G581" s="69" t="s">
        <v>644</v>
      </c>
      <c r="H581" t="s">
        <v>28</v>
      </c>
    </row>
    <row r="582" spans="7:8">
      <c r="G582" s="69" t="s">
        <v>645</v>
      </c>
      <c r="H582" t="s">
        <v>24</v>
      </c>
    </row>
    <row r="583" spans="7:8">
      <c r="G583" s="69" t="s">
        <v>646</v>
      </c>
      <c r="H583" t="s">
        <v>25</v>
      </c>
    </row>
    <row r="584" spans="7:8">
      <c r="G584" s="69" t="s">
        <v>647</v>
      </c>
      <c r="H584" t="s">
        <v>20</v>
      </c>
    </row>
    <row r="585" spans="7:8">
      <c r="G585" s="69" t="s">
        <v>648</v>
      </c>
      <c r="H585" t="s">
        <v>24</v>
      </c>
    </row>
    <row r="586" spans="7:8">
      <c r="G586" s="69" t="s">
        <v>649</v>
      </c>
      <c r="H586" t="s">
        <v>22</v>
      </c>
    </row>
    <row r="587" spans="7:8">
      <c r="G587" s="69" t="s">
        <v>650</v>
      </c>
      <c r="H587" t="s">
        <v>25</v>
      </c>
    </row>
    <row r="588" spans="7:8">
      <c r="G588" s="69" t="s">
        <v>651</v>
      </c>
      <c r="H588" t="s">
        <v>28</v>
      </c>
    </row>
    <row r="589" spans="7:8">
      <c r="G589" s="69" t="s">
        <v>652</v>
      </c>
      <c r="H589" t="s">
        <v>22</v>
      </c>
    </row>
    <row r="590" spans="7:8">
      <c r="G590" s="76" t="s">
        <v>653</v>
      </c>
      <c r="H590" t="s">
        <v>21</v>
      </c>
    </row>
    <row r="591" spans="7:8">
      <c r="G591" s="76" t="s">
        <v>654</v>
      </c>
      <c r="H591" t="s">
        <v>23</v>
      </c>
    </row>
    <row r="592" spans="7:8">
      <c r="G592" s="76" t="s">
        <v>655</v>
      </c>
      <c r="H592" t="s">
        <v>34</v>
      </c>
    </row>
    <row r="593" spans="7:8">
      <c r="G593" s="76" t="s">
        <v>656</v>
      </c>
      <c r="H593" t="s">
        <v>26</v>
      </c>
    </row>
    <row r="594" spans="7:8">
      <c r="G594" s="76" t="s">
        <v>657</v>
      </c>
      <c r="H594" t="s">
        <v>26</v>
      </c>
    </row>
    <row r="595" spans="7:8">
      <c r="G595" s="76" t="s">
        <v>658</v>
      </c>
      <c r="H595" t="s">
        <v>26</v>
      </c>
    </row>
    <row r="596" spans="7:8">
      <c r="G596" t="s">
        <v>666</v>
      </c>
      <c r="H596" t="s">
        <v>21</v>
      </c>
    </row>
    <row r="597" spans="7:8">
      <c r="G597" s="69" t="s">
        <v>659</v>
      </c>
      <c r="H597" t="s">
        <v>27</v>
      </c>
    </row>
    <row r="598" spans="7:8">
      <c r="G598" s="69" t="s">
        <v>660</v>
      </c>
      <c r="H598" t="s">
        <v>26</v>
      </c>
    </row>
    <row r="599" spans="7:8">
      <c r="G599" s="69" t="s">
        <v>661</v>
      </c>
      <c r="H599" t="s">
        <v>22</v>
      </c>
    </row>
    <row r="600" spans="7:8">
      <c r="G600" s="69" t="s">
        <v>662</v>
      </c>
      <c r="H600" t="s">
        <v>39</v>
      </c>
    </row>
    <row r="601" spans="7:8">
      <c r="G601" s="69" t="s">
        <v>663</v>
      </c>
      <c r="H601" t="s">
        <v>22</v>
      </c>
    </row>
    <row r="602" spans="7:8">
      <c r="G602" s="69" t="s">
        <v>664</v>
      </c>
      <c r="H602" t="s">
        <v>39</v>
      </c>
    </row>
    <row r="603" spans="7:8">
      <c r="G603" s="69" t="s">
        <v>667</v>
      </c>
      <c r="H603" t="s">
        <v>39</v>
      </c>
    </row>
    <row r="604" spans="7:8">
      <c r="G604" s="69" t="s">
        <v>668</v>
      </c>
      <c r="H604" t="s">
        <v>32</v>
      </c>
    </row>
    <row r="605" spans="7:8">
      <c r="G605" s="69" t="s">
        <v>669</v>
      </c>
      <c r="H605" t="s">
        <v>26</v>
      </c>
    </row>
    <row r="606" spans="7:8">
      <c r="G606" s="69" t="s">
        <v>670</v>
      </c>
      <c r="H606" t="s">
        <v>27</v>
      </c>
    </row>
    <row r="607" spans="7:8">
      <c r="G607" s="69" t="s">
        <v>671</v>
      </c>
      <c r="H607" t="s">
        <v>32</v>
      </c>
    </row>
    <row r="608" spans="7:8">
      <c r="G608" s="69" t="s">
        <v>672</v>
      </c>
      <c r="H608" t="s">
        <v>39</v>
      </c>
    </row>
    <row r="609" spans="7:8">
      <c r="G609" s="69" t="s">
        <v>673</v>
      </c>
      <c r="H609" t="s">
        <v>22</v>
      </c>
    </row>
    <row r="610" spans="7:8">
      <c r="G610" s="69" t="s">
        <v>674</v>
      </c>
      <c r="H610" t="s">
        <v>39</v>
      </c>
    </row>
    <row r="611" spans="7:8">
      <c r="G611" s="69" t="s">
        <v>675</v>
      </c>
      <c r="H611" t="s">
        <v>22</v>
      </c>
    </row>
    <row r="612" spans="7:8">
      <c r="G612" s="69" t="s">
        <v>676</v>
      </c>
      <c r="H612" t="s">
        <v>5</v>
      </c>
    </row>
    <row r="613" spans="7:8">
      <c r="G613" s="69" t="s">
        <v>677</v>
      </c>
      <c r="H613" t="s">
        <v>5</v>
      </c>
    </row>
    <row r="614" spans="7:8">
      <c r="G614" s="69" t="s">
        <v>678</v>
      </c>
      <c r="H614" t="s">
        <v>26</v>
      </c>
    </row>
    <row r="615" spans="7:8">
      <c r="G615" s="69" t="s">
        <v>679</v>
      </c>
      <c r="H615" t="s">
        <v>30</v>
      </c>
    </row>
    <row r="616" spans="7:8">
      <c r="G616" s="69" t="s">
        <v>680</v>
      </c>
      <c r="H616" t="s">
        <v>26</v>
      </c>
    </row>
    <row r="617" spans="7:8">
      <c r="G617" s="69" t="s">
        <v>681</v>
      </c>
      <c r="H617" t="s">
        <v>30</v>
      </c>
    </row>
    <row r="618" spans="7:8">
      <c r="G618" s="69" t="s">
        <v>682</v>
      </c>
      <c r="H618" t="s">
        <v>26</v>
      </c>
    </row>
    <row r="619" spans="7:8">
      <c r="G619" s="69" t="s">
        <v>683</v>
      </c>
      <c r="H619" t="s">
        <v>39</v>
      </c>
    </row>
    <row r="620" spans="7:8">
      <c r="G620" s="69" t="s">
        <v>684</v>
      </c>
      <c r="H620" t="s">
        <v>32</v>
      </c>
    </row>
    <row r="621" spans="7:8">
      <c r="G621" s="69" t="s">
        <v>685</v>
      </c>
      <c r="H621" t="s">
        <v>35</v>
      </c>
    </row>
    <row r="622" spans="7:8">
      <c r="G622" s="76" t="s">
        <v>686</v>
      </c>
      <c r="H622" t="s">
        <v>19</v>
      </c>
    </row>
    <row r="623" spans="7:8">
      <c r="G623" s="76" t="s">
        <v>687</v>
      </c>
      <c r="H623" t="s">
        <v>26</v>
      </c>
    </row>
    <row r="624" spans="7:8">
      <c r="G624" s="76" t="s">
        <v>688</v>
      </c>
      <c r="H624" t="s">
        <v>32</v>
      </c>
    </row>
    <row r="625" spans="7:8">
      <c r="G625" s="76" t="s">
        <v>689</v>
      </c>
      <c r="H625" t="s">
        <v>32</v>
      </c>
    </row>
    <row r="626" spans="7:8">
      <c r="G626" s="76" t="s">
        <v>690</v>
      </c>
      <c r="H626" t="s">
        <v>32</v>
      </c>
    </row>
    <row r="627" spans="7:8">
      <c r="G627" s="76" t="s">
        <v>691</v>
      </c>
      <c r="H627" t="s">
        <v>28</v>
      </c>
    </row>
    <row r="628" spans="7:8">
      <c r="G628" s="76" t="s">
        <v>692</v>
      </c>
      <c r="H628" t="s">
        <v>19</v>
      </c>
    </row>
    <row r="629" spans="7:8">
      <c r="G629" s="76" t="s">
        <v>693</v>
      </c>
      <c r="H629" t="s">
        <v>32</v>
      </c>
    </row>
    <row r="630" spans="7:8">
      <c r="G630" s="76" t="s">
        <v>694</v>
      </c>
      <c r="H630" t="s">
        <v>32</v>
      </c>
    </row>
    <row r="631" spans="7:8">
      <c r="G631" s="76" t="s">
        <v>695</v>
      </c>
      <c r="H631" t="s">
        <v>26</v>
      </c>
    </row>
    <row r="632" spans="7:8">
      <c r="G632" t="s">
        <v>696</v>
      </c>
      <c r="H632" t="s">
        <v>24</v>
      </c>
    </row>
    <row r="633" spans="7:8">
      <c r="G633" s="69" t="s">
        <v>700</v>
      </c>
      <c r="H633" t="s">
        <v>19</v>
      </c>
    </row>
    <row r="634" spans="7:8">
      <c r="G634" s="69" t="s">
        <v>699</v>
      </c>
      <c r="H634" t="s">
        <v>24</v>
      </c>
    </row>
    <row r="635" spans="7:8">
      <c r="G635" s="69" t="s">
        <v>701</v>
      </c>
      <c r="H635" t="s">
        <v>20</v>
      </c>
    </row>
    <row r="636" spans="7:8">
      <c r="G636" s="69" t="s">
        <v>702</v>
      </c>
      <c r="H636" t="s">
        <v>32</v>
      </c>
    </row>
    <row r="637" spans="7:8">
      <c r="G637" s="69" t="s">
        <v>703</v>
      </c>
      <c r="H637" t="s">
        <v>32</v>
      </c>
    </row>
    <row r="638" spans="7:8">
      <c r="G638" s="69" t="s">
        <v>704</v>
      </c>
      <c r="H638" t="s">
        <v>19</v>
      </c>
    </row>
    <row r="639" spans="7:8">
      <c r="G639" s="69" t="s">
        <v>705</v>
      </c>
      <c r="H639" t="s">
        <v>32</v>
      </c>
    </row>
    <row r="640" spans="7:8">
      <c r="G640" s="69" t="s">
        <v>706</v>
      </c>
      <c r="H640" t="s">
        <v>32</v>
      </c>
    </row>
    <row r="641" spans="7:8">
      <c r="G641" s="69" t="s">
        <v>707</v>
      </c>
      <c r="H641" t="s">
        <v>35</v>
      </c>
    </row>
    <row r="642" spans="7:8">
      <c r="G642" s="69" t="s">
        <v>708</v>
      </c>
      <c r="H642" t="s">
        <v>34</v>
      </c>
    </row>
    <row r="643" spans="7:8">
      <c r="G643" s="69" t="s">
        <v>709</v>
      </c>
      <c r="H643" t="s">
        <v>28</v>
      </c>
    </row>
    <row r="644" spans="7:8">
      <c r="G644" s="69" t="s">
        <v>711</v>
      </c>
      <c r="H644" t="s">
        <v>26</v>
      </c>
    </row>
    <row r="645" spans="7:8">
      <c r="G645" s="69" t="s">
        <v>712</v>
      </c>
      <c r="H645" t="s">
        <v>32</v>
      </c>
    </row>
    <row r="646" spans="7:8">
      <c r="G646" s="69" t="s">
        <v>713</v>
      </c>
      <c r="H646" t="s">
        <v>35</v>
      </c>
    </row>
    <row r="647" spans="7:8">
      <c r="G647" s="69" t="s">
        <v>714</v>
      </c>
      <c r="H647" t="s">
        <v>26</v>
      </c>
    </row>
    <row r="648" spans="7:8">
      <c r="G648" s="69" t="s">
        <v>715</v>
      </c>
      <c r="H648" t="s">
        <v>26</v>
      </c>
    </row>
    <row r="649" spans="7:8">
      <c r="G649" s="69" t="s">
        <v>716</v>
      </c>
      <c r="H649" t="s">
        <v>32</v>
      </c>
    </row>
    <row r="650" spans="7:8">
      <c r="G650" s="69" t="s">
        <v>717</v>
      </c>
      <c r="H650" t="s">
        <v>26</v>
      </c>
    </row>
    <row r="651" spans="7:8">
      <c r="G651" s="69" t="s">
        <v>718</v>
      </c>
      <c r="H651" t="s">
        <v>26</v>
      </c>
    </row>
    <row r="652" spans="7:8">
      <c r="G652" s="69" t="s">
        <v>719</v>
      </c>
      <c r="H652" t="s">
        <v>26</v>
      </c>
    </row>
    <row r="653" spans="7:8">
      <c r="G653" s="69" t="s">
        <v>720</v>
      </c>
      <c r="H653" t="s">
        <v>25</v>
      </c>
    </row>
    <row r="654" spans="7:8">
      <c r="G654" s="69" t="s">
        <v>721</v>
      </c>
      <c r="H654" t="s">
        <v>22</v>
      </c>
    </row>
    <row r="655" spans="7:8">
      <c r="G655" t="s">
        <v>722</v>
      </c>
      <c r="H655" t="s">
        <v>26</v>
      </c>
    </row>
    <row r="656" spans="7:8">
      <c r="G656" t="s">
        <v>723</v>
      </c>
      <c r="H656" t="s">
        <v>19</v>
      </c>
    </row>
    <row r="657" spans="7:8">
      <c r="G657" t="s">
        <v>724</v>
      </c>
      <c r="H657" t="s">
        <v>22</v>
      </c>
    </row>
    <row r="658" spans="7:8">
      <c r="G658" s="76" t="s">
        <v>725</v>
      </c>
      <c r="H658" t="s">
        <v>26</v>
      </c>
    </row>
    <row r="659" spans="7:8">
      <c r="G659" s="76" t="s">
        <v>726</v>
      </c>
      <c r="H659" t="s">
        <v>32</v>
      </c>
    </row>
    <row r="660" spans="7:8">
      <c r="G660" s="76" t="s">
        <v>727</v>
      </c>
      <c r="H660" t="s">
        <v>32</v>
      </c>
    </row>
    <row r="661" spans="7:8">
      <c r="G661" s="76" t="s">
        <v>728</v>
      </c>
      <c r="H661" t="s">
        <v>18</v>
      </c>
    </row>
    <row r="662" spans="7:8">
      <c r="G662" s="76" t="s">
        <v>729</v>
      </c>
      <c r="H662" t="s">
        <v>19</v>
      </c>
    </row>
    <row r="663" spans="7:8">
      <c r="G663" t="s">
        <v>730</v>
      </c>
      <c r="H663" t="s">
        <v>18</v>
      </c>
    </row>
    <row r="664" spans="7:8">
      <c r="G664" t="s">
        <v>731</v>
      </c>
      <c r="H664" t="s">
        <v>26</v>
      </c>
    </row>
    <row r="665" spans="7:8">
      <c r="G665" t="s">
        <v>732</v>
      </c>
      <c r="H665" t="s">
        <v>28</v>
      </c>
    </row>
    <row r="666" spans="7:8">
      <c r="G666" s="69" t="s">
        <v>736</v>
      </c>
      <c r="H666" t="s">
        <v>25</v>
      </c>
    </row>
    <row r="667" spans="7:8">
      <c r="G667" s="69" t="s">
        <v>737</v>
      </c>
      <c r="H667" t="s">
        <v>35</v>
      </c>
    </row>
    <row r="668" spans="7:8">
      <c r="G668" s="69" t="s">
        <v>738</v>
      </c>
      <c r="H668" t="s">
        <v>710</v>
      </c>
    </row>
    <row r="669" spans="7:8">
      <c r="G669" s="69" t="s">
        <v>739</v>
      </c>
      <c r="H669" t="s">
        <v>26</v>
      </c>
    </row>
    <row r="670" spans="7:8">
      <c r="G670" s="69" t="s">
        <v>740</v>
      </c>
      <c r="H670" t="s">
        <v>26</v>
      </c>
    </row>
    <row r="671" spans="7:8">
      <c r="G671" s="69" t="s">
        <v>741</v>
      </c>
      <c r="H671" t="s">
        <v>25</v>
      </c>
    </row>
    <row r="672" spans="7:8">
      <c r="G672" s="69" t="s">
        <v>742</v>
      </c>
      <c r="H672" t="s">
        <v>22</v>
      </c>
    </row>
    <row r="673" spans="7:8">
      <c r="G673" s="69" t="s">
        <v>743</v>
      </c>
      <c r="H673" t="s">
        <v>32</v>
      </c>
    </row>
    <row r="674" spans="7:8">
      <c r="G674" s="69" t="s">
        <v>744</v>
      </c>
      <c r="H674" t="s">
        <v>32</v>
      </c>
    </row>
    <row r="675" spans="7:8">
      <c r="G675" t="s">
        <v>745</v>
      </c>
      <c r="H675" t="s">
        <v>19</v>
      </c>
    </row>
    <row r="676" spans="7:8">
      <c r="G676" s="69" t="s">
        <v>746</v>
      </c>
      <c r="H676" t="s">
        <v>19</v>
      </c>
    </row>
    <row r="677" spans="7:8">
      <c r="G677" s="69" t="s">
        <v>747</v>
      </c>
      <c r="H677" t="s">
        <v>19</v>
      </c>
    </row>
    <row r="678" spans="7:8">
      <c r="G678" s="69" t="s">
        <v>748</v>
      </c>
      <c r="H678" t="s">
        <v>26</v>
      </c>
    </row>
    <row r="679" spans="7:8">
      <c r="G679" t="s">
        <v>749</v>
      </c>
      <c r="H679" t="s">
        <v>18</v>
      </c>
    </row>
    <row r="680" spans="7:8">
      <c r="G680" s="69" t="s">
        <v>752</v>
      </c>
      <c r="H680" t="s">
        <v>20</v>
      </c>
    </row>
    <row r="681" spans="7:8">
      <c r="G681" s="69" t="s">
        <v>751</v>
      </c>
      <c r="H681" t="s">
        <v>22</v>
      </c>
    </row>
    <row r="682" spans="7:8">
      <c r="G682" s="69" t="s">
        <v>750</v>
      </c>
      <c r="H682" t="s">
        <v>19</v>
      </c>
    </row>
    <row r="683" spans="7:8">
      <c r="G683" s="76" t="s">
        <v>753</v>
      </c>
      <c r="H683" t="s">
        <v>18</v>
      </c>
    </row>
    <row r="684" spans="7:8">
      <c r="G684" s="76" t="s">
        <v>754</v>
      </c>
      <c r="H684" t="s">
        <v>32</v>
      </c>
    </row>
    <row r="685" spans="7:8">
      <c r="G685" s="76" t="s">
        <v>755</v>
      </c>
      <c r="H685" t="s">
        <v>26</v>
      </c>
    </row>
    <row r="686" spans="7:8">
      <c r="G686" s="76" t="s">
        <v>756</v>
      </c>
      <c r="H686" t="s">
        <v>26</v>
      </c>
    </row>
    <row r="687" spans="7:8">
      <c r="G687" s="76" t="s">
        <v>757</v>
      </c>
      <c r="H687" t="s">
        <v>26</v>
      </c>
    </row>
    <row r="688" spans="7:8">
      <c r="G688" s="76" t="s">
        <v>758</v>
      </c>
      <c r="H688" t="s">
        <v>22</v>
      </c>
    </row>
    <row r="689" spans="7:8">
      <c r="G689" s="76" t="s">
        <v>759</v>
      </c>
      <c r="H689" t="s">
        <v>26</v>
      </c>
    </row>
    <row r="690" spans="7:8">
      <c r="G690" t="s">
        <v>480</v>
      </c>
      <c r="H690" t="s">
        <v>22</v>
      </c>
    </row>
    <row r="691" spans="7:8">
      <c r="G691" t="s">
        <v>761</v>
      </c>
      <c r="H691" t="s">
        <v>18</v>
      </c>
    </row>
    <row r="692" spans="7:8">
      <c r="G692" s="69" t="s">
        <v>760</v>
      </c>
      <c r="H692" t="s">
        <v>25</v>
      </c>
    </row>
    <row r="693" spans="7:8">
      <c r="G693" s="69" t="s">
        <v>766</v>
      </c>
      <c r="H693" t="s">
        <v>25</v>
      </c>
    </row>
    <row r="694" spans="7:8">
      <c r="G694" s="69" t="s">
        <v>765</v>
      </c>
      <c r="H694" t="s">
        <v>21</v>
      </c>
    </row>
    <row r="695" spans="7:8">
      <c r="G695" s="69" t="s">
        <v>767</v>
      </c>
      <c r="H695" t="s">
        <v>20</v>
      </c>
    </row>
    <row r="696" spans="7:8">
      <c r="G696" s="69" t="s">
        <v>768</v>
      </c>
      <c r="H696" t="s">
        <v>32</v>
      </c>
    </row>
    <row r="697" spans="7:8">
      <c r="G697" s="69" t="s">
        <v>769</v>
      </c>
      <c r="H697" t="s">
        <v>35</v>
      </c>
    </row>
    <row r="698" spans="7:8">
      <c r="G698" t="s">
        <v>770</v>
      </c>
      <c r="H698" t="s">
        <v>21</v>
      </c>
    </row>
    <row r="699" spans="7:8">
      <c r="G699" s="69" t="s">
        <v>771</v>
      </c>
      <c r="H699" t="s">
        <v>26</v>
      </c>
    </row>
    <row r="700" spans="7:8">
      <c r="G700" s="69" t="s">
        <v>772</v>
      </c>
      <c r="H700" t="s">
        <v>789</v>
      </c>
    </row>
    <row r="701" spans="7:8">
      <c r="G701" s="69" t="s">
        <v>773</v>
      </c>
      <c r="H701" t="s">
        <v>32</v>
      </c>
    </row>
    <row r="702" spans="7:8">
      <c r="G702" s="69" t="s">
        <v>774</v>
      </c>
      <c r="H702" t="s">
        <v>18</v>
      </c>
    </row>
    <row r="703" spans="7:8">
      <c r="G703" s="69" t="s">
        <v>775</v>
      </c>
      <c r="H703" t="s">
        <v>26</v>
      </c>
    </row>
    <row r="704" spans="7:8">
      <c r="G704" s="69" t="s">
        <v>776</v>
      </c>
      <c r="H704" t="s">
        <v>26</v>
      </c>
    </row>
    <row r="705" spans="7:8">
      <c r="G705" s="69" t="s">
        <v>777</v>
      </c>
      <c r="H705" t="s">
        <v>23</v>
      </c>
    </row>
    <row r="706" spans="7:8">
      <c r="G706" s="69" t="s">
        <v>778</v>
      </c>
      <c r="H706" t="s">
        <v>23</v>
      </c>
    </row>
    <row r="707" spans="7:8">
      <c r="G707" s="69" t="s">
        <v>779</v>
      </c>
      <c r="H707" t="s">
        <v>23</v>
      </c>
    </row>
    <row r="708" spans="7:8">
      <c r="G708" s="69" t="s">
        <v>780</v>
      </c>
      <c r="H708" t="s">
        <v>18</v>
      </c>
    </row>
    <row r="709" spans="7:8">
      <c r="G709" s="69" t="s">
        <v>781</v>
      </c>
      <c r="H709" t="s">
        <v>18</v>
      </c>
    </row>
    <row r="710" spans="7:8">
      <c r="G710" s="69" t="s">
        <v>782</v>
      </c>
      <c r="H710" t="s">
        <v>18</v>
      </c>
    </row>
    <row r="711" spans="7:8">
      <c r="G711" s="69" t="s">
        <v>783</v>
      </c>
      <c r="H711" t="s">
        <v>18</v>
      </c>
    </row>
    <row r="712" spans="7:8">
      <c r="G712" s="69" t="s">
        <v>784</v>
      </c>
      <c r="H712" t="s">
        <v>18</v>
      </c>
    </row>
    <row r="713" spans="7:8">
      <c r="G713" s="69" t="s">
        <v>785</v>
      </c>
      <c r="H713" t="s">
        <v>18</v>
      </c>
    </row>
    <row r="714" spans="7:8">
      <c r="G714" s="69" t="s">
        <v>763</v>
      </c>
      <c r="H714" t="s">
        <v>28</v>
      </c>
    </row>
    <row r="715" spans="7:8">
      <c r="G715" s="69" t="s">
        <v>786</v>
      </c>
      <c r="H715" t="s">
        <v>790</v>
      </c>
    </row>
    <row r="716" spans="7:8">
      <c r="G716" s="69" t="s">
        <v>762</v>
      </c>
      <c r="H716" t="s">
        <v>790</v>
      </c>
    </row>
    <row r="717" spans="7:8">
      <c r="G717" t="s">
        <v>787</v>
      </c>
      <c r="H717" t="s">
        <v>18</v>
      </c>
    </row>
    <row r="718" spans="7:8">
      <c r="G718" t="s">
        <v>788</v>
      </c>
      <c r="H718" t="s">
        <v>18</v>
      </c>
    </row>
    <row r="719" spans="7:8">
      <c r="G719" s="69" t="s">
        <v>791</v>
      </c>
      <c r="H719" t="s">
        <v>25</v>
      </c>
    </row>
    <row r="720" spans="7:8">
      <c r="G720" s="69" t="s">
        <v>792</v>
      </c>
      <c r="H720" t="s">
        <v>25</v>
      </c>
    </row>
    <row r="721" spans="7:8">
      <c r="G721" s="69" t="s">
        <v>793</v>
      </c>
      <c r="H721" t="s">
        <v>18</v>
      </c>
    </row>
    <row r="722" spans="7:8">
      <c r="G722" s="69" t="s">
        <v>794</v>
      </c>
      <c r="H722" t="s">
        <v>18</v>
      </c>
    </row>
    <row r="723" spans="7:8">
      <c r="G723" s="69" t="s">
        <v>795</v>
      </c>
      <c r="H723" t="s">
        <v>18</v>
      </c>
    </row>
    <row r="724" spans="7:8">
      <c r="G724" s="69" t="s">
        <v>796</v>
      </c>
      <c r="H724" t="s">
        <v>18</v>
      </c>
    </row>
    <row r="725" spans="7:8">
      <c r="G725" s="69" t="s">
        <v>797</v>
      </c>
      <c r="H725" t="s">
        <v>18</v>
      </c>
    </row>
    <row r="726" spans="7:8">
      <c r="G726" s="69" t="s">
        <v>798</v>
      </c>
      <c r="H726" t="s">
        <v>806</v>
      </c>
    </row>
    <row r="727" spans="7:8">
      <c r="G727" s="69" t="s">
        <v>799</v>
      </c>
      <c r="H727" t="s">
        <v>22</v>
      </c>
    </row>
    <row r="728" spans="7:8">
      <c r="G728" s="69" t="s">
        <v>800</v>
      </c>
      <c r="H728" t="s">
        <v>18</v>
      </c>
    </row>
    <row r="729" spans="7:8">
      <c r="G729" s="69" t="s">
        <v>803</v>
      </c>
      <c r="H729" t="s">
        <v>24</v>
      </c>
    </row>
    <row r="730" spans="7:8">
      <c r="G730" s="69" t="s">
        <v>804</v>
      </c>
      <c r="H730" t="s">
        <v>23</v>
      </c>
    </row>
    <row r="731" spans="7:8">
      <c r="G731" s="76" t="s">
        <v>807</v>
      </c>
      <c r="H731" t="s">
        <v>24</v>
      </c>
    </row>
    <row r="732" spans="7:8">
      <c r="G732" s="69" t="s">
        <v>805</v>
      </c>
      <c r="H732" t="s">
        <v>18</v>
      </c>
    </row>
    <row r="733" spans="7:8">
      <c r="G733" s="69" t="s">
        <v>801</v>
      </c>
      <c r="H733" t="s">
        <v>20</v>
      </c>
    </row>
    <row r="734" spans="7:8">
      <c r="G734" s="69" t="s">
        <v>802</v>
      </c>
      <c r="H734" t="s">
        <v>22</v>
      </c>
    </row>
    <row r="735" spans="7:8">
      <c r="G735" s="69" t="s">
        <v>809</v>
      </c>
      <c r="H735" t="s">
        <v>26</v>
      </c>
    </row>
    <row r="736" spans="7:8">
      <c r="G736" s="69" t="s">
        <v>810</v>
      </c>
      <c r="H736" t="s">
        <v>22</v>
      </c>
    </row>
    <row r="737" spans="7:8">
      <c r="G737" s="69" t="s">
        <v>811</v>
      </c>
      <c r="H737" t="s">
        <v>23</v>
      </c>
    </row>
    <row r="738" spans="7:8">
      <c r="G738" s="69" t="s">
        <v>812</v>
      </c>
      <c r="H738" t="s">
        <v>28</v>
      </c>
    </row>
    <row r="739" spans="7:8">
      <c r="G739" t="s">
        <v>813</v>
      </c>
      <c r="H739" t="s">
        <v>22</v>
      </c>
    </row>
    <row r="740" spans="7:8">
      <c r="G740" s="69" t="s">
        <v>814</v>
      </c>
      <c r="H740" t="s">
        <v>28</v>
      </c>
    </row>
    <row r="741" spans="7:8">
      <c r="G741" s="69" t="s">
        <v>815</v>
      </c>
      <c r="H741" t="s">
        <v>39</v>
      </c>
    </row>
    <row r="742" spans="7:8">
      <c r="G742" s="69" t="s">
        <v>816</v>
      </c>
      <c r="H742" t="s">
        <v>23</v>
      </c>
    </row>
    <row r="743" spans="7:8">
      <c r="G743" s="69" t="s">
        <v>817</v>
      </c>
      <c r="H743" t="s">
        <v>25</v>
      </c>
    </row>
    <row r="744" spans="7:8">
      <c r="G744" s="69" t="s">
        <v>818</v>
      </c>
      <c r="H744" t="s">
        <v>22</v>
      </c>
    </row>
    <row r="745" spans="7:8">
      <c r="G745" s="69" t="s">
        <v>819</v>
      </c>
      <c r="H745" t="s">
        <v>19</v>
      </c>
    </row>
    <row r="746" spans="7:8">
      <c r="G746" s="69" t="s">
        <v>820</v>
      </c>
      <c r="H746" t="s">
        <v>26</v>
      </c>
    </row>
    <row r="747" spans="7:8">
      <c r="G747" t="s">
        <v>823</v>
      </c>
      <c r="H747" t="s">
        <v>22</v>
      </c>
    </row>
    <row r="748" spans="7:8">
      <c r="G748" s="69" t="s">
        <v>834</v>
      </c>
      <c r="H748" t="s">
        <v>18</v>
      </c>
    </row>
    <row r="749" spans="7:8">
      <c r="G749" s="69" t="s">
        <v>832</v>
      </c>
      <c r="H749" t="s">
        <v>18</v>
      </c>
    </row>
    <row r="750" spans="7:8">
      <c r="G750" s="69" t="s">
        <v>833</v>
      </c>
      <c r="H750" t="s">
        <v>18</v>
      </c>
    </row>
    <row r="751" spans="7:8">
      <c r="G751" s="69" t="s">
        <v>835</v>
      </c>
      <c r="H751" t="s">
        <v>18</v>
      </c>
    </row>
    <row r="752" spans="7:8">
      <c r="G752" s="69" t="s">
        <v>828</v>
      </c>
      <c r="H752" t="s">
        <v>23</v>
      </c>
    </row>
    <row r="753" spans="7:8">
      <c r="G753" s="69" t="s">
        <v>829</v>
      </c>
      <c r="H753" t="s">
        <v>21</v>
      </c>
    </row>
    <row r="754" spans="7:8">
      <c r="G754" s="69" t="s">
        <v>830</v>
      </c>
      <c r="H754" t="s">
        <v>26</v>
      </c>
    </row>
    <row r="755" spans="7:8">
      <c r="G755" s="69" t="s">
        <v>831</v>
      </c>
      <c r="H755" t="s">
        <v>26</v>
      </c>
    </row>
    <row r="756" spans="7:8">
      <c r="G756" s="69" t="s">
        <v>826</v>
      </c>
      <c r="H756" t="s">
        <v>18</v>
      </c>
    </row>
    <row r="757" spans="7:8">
      <c r="G757" s="69" t="s">
        <v>827</v>
      </c>
      <c r="H757" t="s">
        <v>19</v>
      </c>
    </row>
    <row r="758" spans="7:8">
      <c r="G758" s="69" t="s">
        <v>836</v>
      </c>
      <c r="H758" t="s">
        <v>32</v>
      </c>
    </row>
    <row r="759" spans="7:8">
      <c r="G759" s="69" t="s">
        <v>837</v>
      </c>
      <c r="H759" t="s">
        <v>24</v>
      </c>
    </row>
    <row r="760" spans="7:8">
      <c r="G760" s="69" t="s">
        <v>838</v>
      </c>
      <c r="H760" t="s">
        <v>32</v>
      </c>
    </row>
    <row r="761" spans="7:8">
      <c r="G761" s="69" t="s">
        <v>839</v>
      </c>
      <c r="H761" t="s">
        <v>18</v>
      </c>
    </row>
    <row r="762" spans="7:8">
      <c r="G762" t="s">
        <v>841</v>
      </c>
      <c r="H762" t="s">
        <v>32</v>
      </c>
    </row>
    <row r="763" spans="7:8">
      <c r="G763" s="69" t="s">
        <v>840</v>
      </c>
      <c r="H763" t="s">
        <v>24</v>
      </c>
    </row>
    <row r="764" spans="7:8">
      <c r="G764" s="69" t="s">
        <v>842</v>
      </c>
      <c r="H764" t="s">
        <v>24</v>
      </c>
    </row>
    <row r="765" spans="7:8">
      <c r="G765" s="69" t="s">
        <v>843</v>
      </c>
      <c r="H765" t="s">
        <v>18</v>
      </c>
    </row>
    <row r="766" spans="7:8">
      <c r="G766" s="69" t="s">
        <v>844</v>
      </c>
      <c r="H766" t="s">
        <v>26</v>
      </c>
    </row>
    <row r="767" spans="7:8">
      <c r="G767" s="69" t="s">
        <v>852</v>
      </c>
      <c r="H767" t="s">
        <v>23</v>
      </c>
    </row>
    <row r="768" spans="7:8">
      <c r="G768" s="69" t="s">
        <v>853</v>
      </c>
      <c r="H768" t="s">
        <v>32</v>
      </c>
    </row>
    <row r="769" spans="7:8">
      <c r="G769" s="69" t="s">
        <v>845</v>
      </c>
      <c r="H769" t="s">
        <v>18</v>
      </c>
    </row>
    <row r="770" spans="7:8">
      <c r="G770" s="69" t="s">
        <v>846</v>
      </c>
      <c r="H770" t="s">
        <v>20</v>
      </c>
    </row>
    <row r="771" spans="7:8">
      <c r="G771" s="69" t="s">
        <v>847</v>
      </c>
      <c r="H771" t="s">
        <v>18</v>
      </c>
    </row>
    <row r="772" spans="7:8">
      <c r="G772" s="69" t="s">
        <v>848</v>
      </c>
      <c r="H772" t="s">
        <v>18</v>
      </c>
    </row>
    <row r="773" spans="7:8">
      <c r="G773" s="69" t="s">
        <v>849</v>
      </c>
      <c r="H773" t="s">
        <v>25</v>
      </c>
    </row>
    <row r="774" spans="7:8">
      <c r="G774" s="69" t="s">
        <v>850</v>
      </c>
      <c r="H774" t="s">
        <v>19</v>
      </c>
    </row>
    <row r="775" spans="7:8">
      <c r="G775" s="69" t="s">
        <v>851</v>
      </c>
      <c r="H775" t="s">
        <v>24</v>
      </c>
    </row>
    <row r="776" spans="7:8">
      <c r="G776" s="94" t="s">
        <v>858</v>
      </c>
      <c r="H776" t="s">
        <v>18</v>
      </c>
    </row>
    <row r="777" spans="7:8">
      <c r="G777" s="94" t="s">
        <v>859</v>
      </c>
      <c r="H777" t="s">
        <v>19</v>
      </c>
    </row>
    <row r="778" spans="7:8">
      <c r="G778" s="69" t="s">
        <v>860</v>
      </c>
      <c r="H778" t="s">
        <v>19</v>
      </c>
    </row>
    <row r="779" spans="7:8">
      <c r="G779" s="94" t="s">
        <v>855</v>
      </c>
      <c r="H779" t="s">
        <v>18</v>
      </c>
    </row>
    <row r="780" spans="7:8">
      <c r="G780" s="94" t="s">
        <v>856</v>
      </c>
      <c r="H780" t="s">
        <v>18</v>
      </c>
    </row>
    <row r="781" spans="7:8">
      <c r="G781" s="94" t="s">
        <v>857</v>
      </c>
      <c r="H781" t="s">
        <v>19</v>
      </c>
    </row>
    <row r="782" spans="7:8">
      <c r="G782" s="94" t="s">
        <v>854</v>
      </c>
      <c r="H782" t="s">
        <v>22</v>
      </c>
    </row>
    <row r="783" spans="7:8">
      <c r="G783" s="94" t="s">
        <v>862</v>
      </c>
      <c r="H783" t="s">
        <v>34</v>
      </c>
    </row>
    <row r="784" spans="7:8">
      <c r="G784" s="94" t="s">
        <v>861</v>
      </c>
      <c r="H784" t="s">
        <v>24</v>
      </c>
    </row>
    <row r="785" spans="7:8">
      <c r="G785" t="s">
        <v>865</v>
      </c>
      <c r="H785" t="s">
        <v>22</v>
      </c>
    </row>
    <row r="786" spans="7:8">
      <c r="G786" t="s">
        <v>866</v>
      </c>
      <c r="H786" t="s">
        <v>24</v>
      </c>
    </row>
    <row r="787" spans="7:8">
      <c r="G787" t="s">
        <v>867</v>
      </c>
      <c r="H787" t="s">
        <v>28</v>
      </c>
    </row>
    <row r="788" spans="7:8">
      <c r="G788" t="s">
        <v>863</v>
      </c>
      <c r="H788" t="s">
        <v>24</v>
      </c>
    </row>
    <row r="789" spans="7:8">
      <c r="G789" t="s">
        <v>868</v>
      </c>
      <c r="H789" t="s">
        <v>28</v>
      </c>
    </row>
    <row r="790" spans="7:8">
      <c r="G790" t="s">
        <v>869</v>
      </c>
      <c r="H790" t="s">
        <v>19</v>
      </c>
    </row>
    <row r="791" spans="7:8">
      <c r="G791" t="s">
        <v>870</v>
      </c>
      <c r="H791" t="s">
        <v>28</v>
      </c>
    </row>
    <row r="792" spans="7:8">
      <c r="G792" t="s">
        <v>871</v>
      </c>
      <c r="H792" t="s">
        <v>22</v>
      </c>
    </row>
    <row r="793" spans="7:8">
      <c r="G793" t="s">
        <v>864</v>
      </c>
      <c r="H793" t="s">
        <v>22</v>
      </c>
    </row>
    <row r="794" spans="7:8">
      <c r="G794" t="s">
        <v>872</v>
      </c>
      <c r="H794" t="s">
        <v>18</v>
      </c>
    </row>
    <row r="795" spans="7:8">
      <c r="G795" t="s">
        <v>873</v>
      </c>
      <c r="H795" t="s">
        <v>18</v>
      </c>
    </row>
    <row r="796" spans="7:8">
      <c r="G796" t="s">
        <v>881</v>
      </c>
      <c r="H796" t="s">
        <v>18</v>
      </c>
    </row>
    <row r="797" spans="7:8">
      <c r="G797" t="s">
        <v>874</v>
      </c>
      <c r="H797" t="s">
        <v>21</v>
      </c>
    </row>
    <row r="798" spans="7:8">
      <c r="G798" t="s">
        <v>875</v>
      </c>
      <c r="H798" t="s">
        <v>39</v>
      </c>
    </row>
    <row r="799" spans="7:8">
      <c r="G799" t="s">
        <v>876</v>
      </c>
      <c r="H799" t="s">
        <v>39</v>
      </c>
    </row>
    <row r="800" spans="7:8">
      <c r="G800" t="s">
        <v>877</v>
      </c>
      <c r="H800" t="s">
        <v>39</v>
      </c>
    </row>
    <row r="801" spans="7:8">
      <c r="G801" t="s">
        <v>878</v>
      </c>
      <c r="H801" t="s">
        <v>23</v>
      </c>
    </row>
    <row r="802" spans="7:8">
      <c r="G802" t="s">
        <v>879</v>
      </c>
      <c r="H802" t="s">
        <v>24</v>
      </c>
    </row>
    <row r="803" spans="7:8">
      <c r="G803" t="s">
        <v>880</v>
      </c>
      <c r="H803" t="s">
        <v>23</v>
      </c>
    </row>
    <row r="804" spans="7:8">
      <c r="G804" s="95" t="s">
        <v>882</v>
      </c>
      <c r="H804" t="s">
        <v>18</v>
      </c>
    </row>
    <row r="805" spans="7:8">
      <c r="G805" s="95" t="s">
        <v>883</v>
      </c>
      <c r="H805" t="s">
        <v>23</v>
      </c>
    </row>
    <row r="806" spans="7:8">
      <c r="G806" s="95" t="s">
        <v>884</v>
      </c>
      <c r="H806" t="s">
        <v>18</v>
      </c>
    </row>
    <row r="807" spans="7:8">
      <c r="G807" s="95" t="s">
        <v>885</v>
      </c>
      <c r="H807" t="s">
        <v>32</v>
      </c>
    </row>
    <row r="808" spans="7:8">
      <c r="G808" s="95" t="s">
        <v>886</v>
      </c>
      <c r="H808" t="s">
        <v>22</v>
      </c>
    </row>
    <row r="809" spans="7:8">
      <c r="G809" s="95" t="s">
        <v>887</v>
      </c>
      <c r="H809" t="s">
        <v>20</v>
      </c>
    </row>
    <row r="810" spans="7:8">
      <c r="G810" s="95" t="s">
        <v>888</v>
      </c>
      <c r="H810" t="s">
        <v>32</v>
      </c>
    </row>
    <row r="811" spans="7:8">
      <c r="G811" s="95" t="s">
        <v>889</v>
      </c>
      <c r="H811" t="s">
        <v>20</v>
      </c>
    </row>
    <row r="812" spans="7:8">
      <c r="G812" s="95" t="s">
        <v>890</v>
      </c>
      <c r="H812" t="s">
        <v>24</v>
      </c>
    </row>
    <row r="813" spans="7:8">
      <c r="G813" s="95" t="s">
        <v>886</v>
      </c>
      <c r="H813" t="s">
        <v>22</v>
      </c>
    </row>
    <row r="814" spans="7:8">
      <c r="G814" s="95" t="s">
        <v>891</v>
      </c>
      <c r="H814" t="s">
        <v>28</v>
      </c>
    </row>
    <row r="815" spans="7:8">
      <c r="G815" s="95" t="s">
        <v>892</v>
      </c>
      <c r="H815" t="s">
        <v>26</v>
      </c>
    </row>
    <row r="816" spans="7:8">
      <c r="G816" s="95" t="s">
        <v>893</v>
      </c>
      <c r="H816" t="s">
        <v>35</v>
      </c>
    </row>
    <row r="817" spans="7:8">
      <c r="G817" s="95" t="s">
        <v>890</v>
      </c>
      <c r="H817" t="s">
        <v>24</v>
      </c>
    </row>
    <row r="818" spans="7:8">
      <c r="G818" s="95" t="s">
        <v>886</v>
      </c>
      <c r="H818" t="s">
        <v>22</v>
      </c>
    </row>
    <row r="819" spans="7:8">
      <c r="G819" s="95" t="s">
        <v>886</v>
      </c>
      <c r="H819" t="s">
        <v>22</v>
      </c>
    </row>
    <row r="820" spans="7:8">
      <c r="G820" s="95" t="s">
        <v>894</v>
      </c>
      <c r="H820" t="s">
        <v>27</v>
      </c>
    </row>
    <row r="821" spans="7:8">
      <c r="G821" s="95" t="s">
        <v>895</v>
      </c>
      <c r="H821" t="s">
        <v>28</v>
      </c>
    </row>
    <row r="822" spans="7:8">
      <c r="G822" s="95" t="s">
        <v>896</v>
      </c>
      <c r="H822" t="s">
        <v>20</v>
      </c>
    </row>
    <row r="823" spans="7:8">
      <c r="G823" s="77" t="s">
        <v>897</v>
      </c>
      <c r="H823" t="s">
        <v>18</v>
      </c>
    </row>
    <row r="824" spans="7:8">
      <c r="G824" s="96" t="s">
        <v>898</v>
      </c>
      <c r="H824" t="s">
        <v>24</v>
      </c>
    </row>
    <row r="825" spans="7:8">
      <c r="G825" s="96" t="s">
        <v>899</v>
      </c>
      <c r="H825" t="s">
        <v>24</v>
      </c>
    </row>
    <row r="826" spans="7:8">
      <c r="G826" s="96" t="s">
        <v>900</v>
      </c>
      <c r="H826" t="s">
        <v>28</v>
      </c>
    </row>
    <row r="827" spans="7:8">
      <c r="G827" s="96" t="s">
        <v>901</v>
      </c>
      <c r="H827" t="s">
        <v>25</v>
      </c>
    </row>
    <row r="828" spans="7:8">
      <c r="G828" s="96" t="s">
        <v>902</v>
      </c>
      <c r="H828" t="s">
        <v>19</v>
      </c>
    </row>
    <row r="829" spans="7:8">
      <c r="G829" s="96" t="s">
        <v>903</v>
      </c>
      <c r="H829" t="s">
        <v>32</v>
      </c>
    </row>
    <row r="830" spans="7:8">
      <c r="G830" s="96" t="s">
        <v>904</v>
      </c>
      <c r="H830" t="s">
        <v>18</v>
      </c>
    </row>
    <row r="831" spans="7:8">
      <c r="G831" s="96" t="s">
        <v>905</v>
      </c>
      <c r="H831" t="s">
        <v>32</v>
      </c>
    </row>
    <row r="832" spans="7:8">
      <c r="G832" s="96" t="s">
        <v>906</v>
      </c>
      <c r="H832" t="s">
        <v>26</v>
      </c>
    </row>
    <row r="833" spans="7:8">
      <c r="G833" s="98" t="s">
        <v>907</v>
      </c>
      <c r="H833" t="s">
        <v>18</v>
      </c>
    </row>
    <row r="834" spans="7:8">
      <c r="G834" s="98" t="s">
        <v>908</v>
      </c>
      <c r="H834" t="s">
        <v>18</v>
      </c>
    </row>
    <row r="835" spans="7:8">
      <c r="G835" s="98" t="s">
        <v>909</v>
      </c>
      <c r="H835" t="s">
        <v>18</v>
      </c>
    </row>
    <row r="836" spans="7:8">
      <c r="G836" s="98" t="s">
        <v>910</v>
      </c>
      <c r="H836" t="s">
        <v>18</v>
      </c>
    </row>
    <row r="837" spans="7:8">
      <c r="G837" s="98" t="s">
        <v>911</v>
      </c>
      <c r="H837" t="s">
        <v>18</v>
      </c>
    </row>
    <row r="838" spans="7:8">
      <c r="G838" s="98" t="s">
        <v>911</v>
      </c>
      <c r="H838" t="s">
        <v>18</v>
      </c>
    </row>
    <row r="839" spans="7:8">
      <c r="G839" s="98" t="s">
        <v>912</v>
      </c>
      <c r="H839" t="s">
        <v>18</v>
      </c>
    </row>
    <row r="840" spans="7:8">
      <c r="G840" s="98" t="s">
        <v>912</v>
      </c>
      <c r="H840" t="s">
        <v>18</v>
      </c>
    </row>
    <row r="841" spans="7:8">
      <c r="G841" s="98" t="s">
        <v>913</v>
      </c>
      <c r="H841" t="s">
        <v>26</v>
      </c>
    </row>
    <row r="842" spans="7:8">
      <c r="G842" s="98" t="s">
        <v>912</v>
      </c>
      <c r="H842" t="s">
        <v>18</v>
      </c>
    </row>
    <row r="843" spans="7:8">
      <c r="G843" s="69" t="s">
        <v>916</v>
      </c>
      <c r="H843" t="s">
        <v>32</v>
      </c>
    </row>
    <row r="844" spans="7:8">
      <c r="G844" s="69" t="s">
        <v>914</v>
      </c>
      <c r="H844" t="s">
        <v>18</v>
      </c>
    </row>
    <row r="845" spans="7:8">
      <c r="G845" s="69" t="s">
        <v>915</v>
      </c>
      <c r="H845" t="s">
        <v>39</v>
      </c>
    </row>
    <row r="846" spans="7:8">
      <c r="G846" s="69" t="s">
        <v>917</v>
      </c>
      <c r="H846" t="s">
        <v>18</v>
      </c>
    </row>
    <row r="847" spans="7:8">
      <c r="G847" s="69" t="s">
        <v>918</v>
      </c>
      <c r="H847" t="s">
        <v>18</v>
      </c>
    </row>
    <row r="848" spans="7:8">
      <c r="G848" s="69" t="s">
        <v>919</v>
      </c>
      <c r="H848" t="s">
        <v>19</v>
      </c>
    </row>
    <row r="849" spans="7:8">
      <c r="G849" t="s">
        <v>920</v>
      </c>
      <c r="H849" t="s">
        <v>18</v>
      </c>
    </row>
    <row r="850" spans="7:8">
      <c r="G850" t="s">
        <v>921</v>
      </c>
      <c r="H850" t="s">
        <v>18</v>
      </c>
    </row>
    <row r="851" spans="7:8">
      <c r="G851" t="s">
        <v>922</v>
      </c>
      <c r="H851" t="s">
        <v>18</v>
      </c>
    </row>
    <row r="852" spans="7:8">
      <c r="G852" s="96" t="s">
        <v>923</v>
      </c>
      <c r="H852" t="s">
        <v>18</v>
      </c>
    </row>
    <row r="853" spans="7:8">
      <c r="G853" s="96" t="s">
        <v>924</v>
      </c>
      <c r="H853" t="s">
        <v>26</v>
      </c>
    </row>
    <row r="854" spans="7:8">
      <c r="G854" s="96" t="s">
        <v>925</v>
      </c>
      <c r="H854" t="s">
        <v>22</v>
      </c>
    </row>
    <row r="855" spans="7:8">
      <c r="G855" s="96" t="s">
        <v>926</v>
      </c>
      <c r="H855" t="s">
        <v>28</v>
      </c>
    </row>
    <row r="856" spans="7:8">
      <c r="G856" s="96" t="s">
        <v>927</v>
      </c>
      <c r="H856" t="s">
        <v>25</v>
      </c>
    </row>
    <row r="857" spans="7:8">
      <c r="G857" s="96" t="s">
        <v>928</v>
      </c>
      <c r="H857" t="s">
        <v>32</v>
      </c>
    </row>
    <row r="858" spans="7:8">
      <c r="G858" s="96" t="s">
        <v>929</v>
      </c>
      <c r="H858" t="s">
        <v>22</v>
      </c>
    </row>
    <row r="859" spans="7:8">
      <c r="G859" t="s">
        <v>930</v>
      </c>
      <c r="H859" t="s">
        <v>22</v>
      </c>
    </row>
    <row r="860" spans="7:8">
      <c r="G860" t="s">
        <v>770</v>
      </c>
      <c r="H860" t="s">
        <v>19</v>
      </c>
    </row>
    <row r="861" spans="7:8">
      <c r="G861" s="96" t="s">
        <v>931</v>
      </c>
      <c r="H861" t="s">
        <v>22</v>
      </c>
    </row>
    <row r="862" spans="7:8">
      <c r="G862" s="96" t="s">
        <v>932</v>
      </c>
      <c r="H862" t="s">
        <v>23</v>
      </c>
    </row>
    <row r="863" spans="7:8">
      <c r="G863" s="96" t="s">
        <v>933</v>
      </c>
      <c r="H863" t="s">
        <v>25</v>
      </c>
    </row>
    <row r="864" spans="7:8">
      <c r="G864" s="96" t="s">
        <v>934</v>
      </c>
      <c r="H864" t="s">
        <v>19</v>
      </c>
    </row>
    <row r="865" spans="7:8">
      <c r="G865" s="96" t="s">
        <v>935</v>
      </c>
      <c r="H865" t="s">
        <v>18</v>
      </c>
    </row>
    <row r="866" spans="7:8">
      <c r="G866" s="96" t="s">
        <v>936</v>
      </c>
      <c r="H866" t="s">
        <v>18</v>
      </c>
    </row>
    <row r="867" spans="7:8">
      <c r="G867" s="96" t="s">
        <v>935</v>
      </c>
      <c r="H867" t="s">
        <v>18</v>
      </c>
    </row>
    <row r="868" spans="7:8">
      <c r="G868" s="96" t="s">
        <v>937</v>
      </c>
      <c r="H868" t="s">
        <v>19</v>
      </c>
    </row>
    <row r="869" spans="7:8">
      <c r="G869" t="s">
        <v>938</v>
      </c>
      <c r="H869" t="s">
        <v>22</v>
      </c>
    </row>
    <row r="870" spans="7:8">
      <c r="G870" t="s">
        <v>939</v>
      </c>
      <c r="H870" t="s">
        <v>22</v>
      </c>
    </row>
    <row r="871" spans="7:8">
      <c r="G871" s="69" t="s">
        <v>940</v>
      </c>
      <c r="H871" t="s">
        <v>32</v>
      </c>
    </row>
    <row r="872" spans="7:8">
      <c r="G872" s="69" t="s">
        <v>941</v>
      </c>
      <c r="H872" t="s">
        <v>20</v>
      </c>
    </row>
    <row r="873" spans="7:8">
      <c r="G873" s="69" t="s">
        <v>942</v>
      </c>
      <c r="H873" t="s">
        <v>28</v>
      </c>
    </row>
    <row r="874" spans="7:8">
      <c r="G874" s="69" t="s">
        <v>943</v>
      </c>
      <c r="H874" t="s">
        <v>32</v>
      </c>
    </row>
    <row r="875" spans="7:8">
      <c r="G875" s="69" t="s">
        <v>944</v>
      </c>
      <c r="H875" t="s">
        <v>26</v>
      </c>
    </row>
    <row r="876" spans="7:8">
      <c r="G876" s="69" t="s">
        <v>945</v>
      </c>
      <c r="H876" t="s">
        <v>22</v>
      </c>
    </row>
    <row r="877" spans="7:8">
      <c r="G877" s="69" t="s">
        <v>946</v>
      </c>
      <c r="H877" t="s">
        <v>22</v>
      </c>
    </row>
    <row r="878" spans="7:8">
      <c r="G878" s="69" t="s">
        <v>947</v>
      </c>
      <c r="H878" t="s">
        <v>21</v>
      </c>
    </row>
    <row r="879" spans="7:8">
      <c r="G879" s="69" t="s">
        <v>948</v>
      </c>
      <c r="H879" t="s">
        <v>22</v>
      </c>
    </row>
    <row r="880" spans="7:8">
      <c r="G880" s="69" t="s">
        <v>949</v>
      </c>
      <c r="H880" t="s">
        <v>26</v>
      </c>
    </row>
    <row r="881" spans="7:8">
      <c r="G881" s="69" t="s">
        <v>950</v>
      </c>
      <c r="H881" t="s">
        <v>18</v>
      </c>
    </row>
    <row r="882" spans="7:8">
      <c r="G882" s="69" t="s">
        <v>951</v>
      </c>
      <c r="H882" t="s">
        <v>18</v>
      </c>
    </row>
    <row r="883" spans="7:8">
      <c r="G883" s="69" t="s">
        <v>952</v>
      </c>
      <c r="H883" t="s">
        <v>18</v>
      </c>
    </row>
    <row r="884" spans="7:8">
      <c r="G884" s="69" t="s">
        <v>953</v>
      </c>
      <c r="H884" t="s">
        <v>18</v>
      </c>
    </row>
    <row r="885" spans="7:8">
      <c r="G885" s="69" t="s">
        <v>954</v>
      </c>
      <c r="H885" t="s">
        <v>18</v>
      </c>
    </row>
    <row r="886" spans="7:8">
      <c r="G886" t="s">
        <v>955</v>
      </c>
      <c r="H886" t="s">
        <v>18</v>
      </c>
    </row>
    <row r="887" spans="7:8">
      <c r="G887" t="s">
        <v>956</v>
      </c>
      <c r="H887" t="s">
        <v>18</v>
      </c>
    </row>
    <row r="888" spans="7:8">
      <c r="G888" t="s">
        <v>957</v>
      </c>
      <c r="H888" t="s">
        <v>19</v>
      </c>
    </row>
    <row r="889" spans="7:8">
      <c r="G889" s="99" t="s">
        <v>958</v>
      </c>
      <c r="H889" t="s">
        <v>18</v>
      </c>
    </row>
    <row r="890" spans="7:8">
      <c r="G890" s="96" t="s">
        <v>959</v>
      </c>
      <c r="H890" t="s">
        <v>28</v>
      </c>
    </row>
    <row r="891" spans="7:8">
      <c r="G891" s="96" t="s">
        <v>960</v>
      </c>
      <c r="H891" t="s">
        <v>32</v>
      </c>
    </row>
    <row r="892" spans="7:8">
      <c r="G892" s="96" t="s">
        <v>961</v>
      </c>
      <c r="H892" t="s">
        <v>32</v>
      </c>
    </row>
    <row r="893" spans="7:8">
      <c r="G893" s="96" t="s">
        <v>962</v>
      </c>
      <c r="H893" t="s">
        <v>19</v>
      </c>
    </row>
    <row r="894" spans="7:8">
      <c r="G894" s="96" t="s">
        <v>964</v>
      </c>
      <c r="H894" t="s">
        <v>22</v>
      </c>
    </row>
    <row r="895" spans="7:8">
      <c r="G895" s="96" t="s">
        <v>965</v>
      </c>
      <c r="H895" t="s">
        <v>23</v>
      </c>
    </row>
    <row r="896" spans="7:8">
      <c r="G896" s="101" t="s">
        <v>966</v>
      </c>
      <c r="H896" t="s">
        <v>22</v>
      </c>
    </row>
    <row r="897" spans="7:8">
      <c r="G897" s="101" t="s">
        <v>967</v>
      </c>
      <c r="H897" t="s">
        <v>26</v>
      </c>
    </row>
    <row r="898" spans="7:8">
      <c r="G898" s="101" t="s">
        <v>968</v>
      </c>
      <c r="H898" t="s">
        <v>32</v>
      </c>
    </row>
    <row r="899" spans="7:8">
      <c r="G899" s="101" t="s">
        <v>969</v>
      </c>
      <c r="H899" t="s">
        <v>22</v>
      </c>
    </row>
    <row r="900" spans="7:8">
      <c r="G900" s="101" t="s">
        <v>970</v>
      </c>
      <c r="H900" t="s">
        <v>26</v>
      </c>
    </row>
    <row r="901" spans="7:8">
      <c r="G901" s="101" t="s">
        <v>971</v>
      </c>
      <c r="H901" t="s">
        <v>26</v>
      </c>
    </row>
    <row r="902" spans="7:8">
      <c r="G902" s="101" t="s">
        <v>972</v>
      </c>
      <c r="H902" t="s">
        <v>25</v>
      </c>
    </row>
    <row r="903" spans="7:8">
      <c r="G903" s="101" t="s">
        <v>963</v>
      </c>
      <c r="H903" t="s">
        <v>32</v>
      </c>
    </row>
    <row r="904" spans="7:8">
      <c r="G904" s="101" t="s">
        <v>973</v>
      </c>
      <c r="H904" t="s">
        <v>39</v>
      </c>
    </row>
    <row r="905" spans="7:8">
      <c r="G905" s="101" t="s">
        <v>974</v>
      </c>
      <c r="H905" t="s">
        <v>24</v>
      </c>
    </row>
    <row r="906" spans="7:8">
      <c r="G906" t="s">
        <v>975</v>
      </c>
      <c r="H906" t="s">
        <v>22</v>
      </c>
    </row>
    <row r="907" spans="7:8">
      <c r="G907" t="s">
        <v>976</v>
      </c>
      <c r="H907" t="s">
        <v>19</v>
      </c>
    </row>
    <row r="908" spans="7:8">
      <c r="G908" t="s">
        <v>977</v>
      </c>
      <c r="H908" t="s">
        <v>26</v>
      </c>
    </row>
    <row r="909" spans="7:8">
      <c r="G909" t="s">
        <v>978</v>
      </c>
      <c r="H909" t="s">
        <v>27</v>
      </c>
    </row>
    <row r="910" spans="7:8">
      <c r="G910" s="101" t="s">
        <v>979</v>
      </c>
      <c r="H910" t="s">
        <v>22</v>
      </c>
    </row>
    <row r="911" spans="7:8">
      <c r="G911" s="101" t="s">
        <v>980</v>
      </c>
      <c r="H911" t="s">
        <v>22</v>
      </c>
    </row>
    <row r="912" spans="7:8">
      <c r="G912" s="101" t="s">
        <v>981</v>
      </c>
      <c r="H912" t="s">
        <v>32</v>
      </c>
    </row>
    <row r="913" spans="7:8">
      <c r="G913" s="101" t="s">
        <v>982</v>
      </c>
      <c r="H913" t="s">
        <v>32</v>
      </c>
    </row>
    <row r="914" spans="7:8">
      <c r="G914" s="101" t="s">
        <v>983</v>
      </c>
      <c r="H914" t="s">
        <v>32</v>
      </c>
    </row>
    <row r="915" spans="7:8">
      <c r="G915" s="101" t="s">
        <v>984</v>
      </c>
      <c r="H915" t="s">
        <v>22</v>
      </c>
    </row>
    <row r="916" spans="7:8">
      <c r="G916" t="s">
        <v>985</v>
      </c>
      <c r="H916" t="s">
        <v>22</v>
      </c>
    </row>
    <row r="917" spans="7:8">
      <c r="G917" s="101" t="s">
        <v>987</v>
      </c>
      <c r="H917" t="s">
        <v>24</v>
      </c>
    </row>
    <row r="918" spans="7:8">
      <c r="G918" s="101" t="s">
        <v>988</v>
      </c>
      <c r="H918" t="s">
        <v>18</v>
      </c>
    </row>
    <row r="919" spans="7:8">
      <c r="G919" s="101" t="s">
        <v>989</v>
      </c>
      <c r="H919" t="s">
        <v>18</v>
      </c>
    </row>
    <row r="920" spans="7:8">
      <c r="G920" s="101" t="s">
        <v>990</v>
      </c>
      <c r="H920" t="s">
        <v>18</v>
      </c>
    </row>
    <row r="921" spans="7:8">
      <c r="G921" s="101" t="s">
        <v>991</v>
      </c>
      <c r="H921" t="s">
        <v>18</v>
      </c>
    </row>
    <row r="922" spans="7:8">
      <c r="G922" s="101" t="s">
        <v>992</v>
      </c>
      <c r="H922" t="s">
        <v>18</v>
      </c>
    </row>
    <row r="923" spans="7:8">
      <c r="G923" s="101" t="s">
        <v>993</v>
      </c>
      <c r="H923" t="s">
        <v>18</v>
      </c>
    </row>
    <row r="924" spans="7:8">
      <c r="G924" s="101" t="s">
        <v>994</v>
      </c>
      <c r="H924" t="s">
        <v>18</v>
      </c>
    </row>
    <row r="925" spans="7:8">
      <c r="G925" s="101" t="s">
        <v>995</v>
      </c>
      <c r="H925" t="s">
        <v>18</v>
      </c>
    </row>
    <row r="926" spans="7:8">
      <c r="G926" s="101" t="s">
        <v>996</v>
      </c>
      <c r="H926" t="s">
        <v>18</v>
      </c>
    </row>
    <row r="927" spans="7:8">
      <c r="G927" s="101" t="s">
        <v>997</v>
      </c>
      <c r="H927" t="s">
        <v>18</v>
      </c>
    </row>
    <row r="928" spans="7:8">
      <c r="G928" s="101" t="s">
        <v>998</v>
      </c>
      <c r="H928" t="s">
        <v>18</v>
      </c>
    </row>
    <row r="929" spans="7:8">
      <c r="G929" s="101" t="s">
        <v>999</v>
      </c>
      <c r="H929" t="s">
        <v>18</v>
      </c>
    </row>
    <row r="930" spans="7:8">
      <c r="G930" s="101" t="s">
        <v>1000</v>
      </c>
      <c r="H930" t="s">
        <v>18</v>
      </c>
    </row>
    <row r="931" spans="7:8">
      <c r="G931" s="101" t="s">
        <v>1001</v>
      </c>
      <c r="H931" t="s">
        <v>18</v>
      </c>
    </row>
    <row r="932" spans="7:8">
      <c r="G932" s="101" t="s">
        <v>1002</v>
      </c>
      <c r="H932" t="s">
        <v>18</v>
      </c>
    </row>
    <row r="933" spans="7:8">
      <c r="G933" s="101" t="s">
        <v>1003</v>
      </c>
      <c r="H933" t="s">
        <v>18</v>
      </c>
    </row>
    <row r="934" spans="7:8">
      <c r="G934" s="101" t="s">
        <v>1004</v>
      </c>
      <c r="H934" t="s">
        <v>32</v>
      </c>
    </row>
    <row r="935" spans="7:8">
      <c r="G935" t="s">
        <v>1006</v>
      </c>
      <c r="H935" t="s">
        <v>28</v>
      </c>
    </row>
    <row r="936" spans="7:8">
      <c r="G936" t="s">
        <v>1008</v>
      </c>
      <c r="H936" t="s">
        <v>22</v>
      </c>
    </row>
    <row r="937" spans="7:8">
      <c r="G937" t="s">
        <v>1009</v>
      </c>
      <c r="H937" t="s">
        <v>32</v>
      </c>
    </row>
    <row r="938" spans="7:8">
      <c r="G938" t="s">
        <v>1007</v>
      </c>
      <c r="H938" t="s">
        <v>22</v>
      </c>
    </row>
    <row r="939" spans="7:8">
      <c r="G939" s="101" t="s">
        <v>1005</v>
      </c>
      <c r="H939" t="s">
        <v>790</v>
      </c>
    </row>
    <row r="940" spans="7:8">
      <c r="G940" s="101" t="s">
        <v>986</v>
      </c>
      <c r="H940" t="s">
        <v>25</v>
      </c>
    </row>
    <row r="941" spans="7:8">
      <c r="G941" s="101" t="s">
        <v>1010</v>
      </c>
      <c r="H941" t="s">
        <v>22</v>
      </c>
    </row>
    <row r="942" spans="7:8">
      <c r="G942" s="101" t="s">
        <v>1011</v>
      </c>
      <c r="H942" t="s">
        <v>32</v>
      </c>
    </row>
    <row r="943" spans="7:8">
      <c r="G943" s="101" t="s">
        <v>1012</v>
      </c>
      <c r="H943" t="s">
        <v>24</v>
      </c>
    </row>
    <row r="944" spans="7:8">
      <c r="G944" s="101" t="s">
        <v>1013</v>
      </c>
      <c r="H944" t="s">
        <v>28</v>
      </c>
    </row>
    <row r="945" spans="7:8">
      <c r="G945" s="101" t="s">
        <v>1014</v>
      </c>
      <c r="H945" t="s">
        <v>18</v>
      </c>
    </row>
    <row r="946" spans="7:8">
      <c r="G946" s="101" t="s">
        <v>1015</v>
      </c>
      <c r="H946" t="s">
        <v>18</v>
      </c>
    </row>
    <row r="947" spans="7:8">
      <c r="G947" t="s">
        <v>1016</v>
      </c>
      <c r="H947" t="s">
        <v>22</v>
      </c>
    </row>
    <row r="948" spans="7:8">
      <c r="G948" s="101" t="s">
        <v>1018</v>
      </c>
      <c r="H948" t="s">
        <v>25</v>
      </c>
    </row>
    <row r="949" spans="7:8">
      <c r="G949" s="101" t="s">
        <v>1019</v>
      </c>
      <c r="H949" t="s">
        <v>26</v>
      </c>
    </row>
    <row r="950" spans="7:8">
      <c r="G950" s="101" t="s">
        <v>1020</v>
      </c>
      <c r="H950" t="s">
        <v>23</v>
      </c>
    </row>
    <row r="951" spans="7:8">
      <c r="G951" t="s">
        <v>1021</v>
      </c>
      <c r="H951" t="s">
        <v>19</v>
      </c>
    </row>
    <row r="952" spans="7:8">
      <c r="G952" t="s">
        <v>1022</v>
      </c>
      <c r="H952" t="s">
        <v>18</v>
      </c>
    </row>
    <row r="953" spans="7:8">
      <c r="G953" s="101" t="s">
        <v>1023</v>
      </c>
      <c r="H953" t="s">
        <v>19</v>
      </c>
    </row>
    <row r="954" spans="7:8">
      <c r="G954" s="105" t="s">
        <v>1027</v>
      </c>
      <c r="H954" t="s">
        <v>18</v>
      </c>
    </row>
    <row r="955" spans="7:8">
      <c r="G955" s="105" t="s">
        <v>1028</v>
      </c>
      <c r="H955" t="s">
        <v>18</v>
      </c>
    </row>
    <row r="956" spans="7:8">
      <c r="G956" s="105" t="s">
        <v>1029</v>
      </c>
      <c r="H956" t="s">
        <v>18</v>
      </c>
    </row>
    <row r="957" spans="7:8">
      <c r="G957" s="105" t="s">
        <v>1030</v>
      </c>
      <c r="H957" t="s">
        <v>18</v>
      </c>
    </row>
    <row r="958" spans="7:8">
      <c r="G958" s="105" t="s">
        <v>1031</v>
      </c>
      <c r="H958" t="s">
        <v>18</v>
      </c>
    </row>
    <row r="959" spans="7:8">
      <c r="G959" s="105" t="s">
        <v>1032</v>
      </c>
      <c r="H959" t="s">
        <v>18</v>
      </c>
    </row>
    <row r="960" spans="7:8">
      <c r="G960" s="105" t="s">
        <v>1033</v>
      </c>
      <c r="H960" t="s">
        <v>18</v>
      </c>
    </row>
    <row r="961" spans="7:8">
      <c r="G961" s="105" t="s">
        <v>1034</v>
      </c>
      <c r="H961" t="s">
        <v>18</v>
      </c>
    </row>
    <row r="962" spans="7:8">
      <c r="G962" s="105" t="s">
        <v>1035</v>
      </c>
      <c r="H962" t="s">
        <v>18</v>
      </c>
    </row>
    <row r="963" spans="7:8">
      <c r="G963" s="105" t="s">
        <v>1036</v>
      </c>
      <c r="H963" t="s">
        <v>18</v>
      </c>
    </row>
    <row r="964" spans="7:8">
      <c r="G964" s="105" t="s">
        <v>1037</v>
      </c>
      <c r="H964" t="s">
        <v>18</v>
      </c>
    </row>
    <row r="965" spans="7:8">
      <c r="G965" t="s">
        <v>1041</v>
      </c>
      <c r="H965" t="s">
        <v>18</v>
      </c>
    </row>
    <row r="966" spans="7:8">
      <c r="G966" t="s">
        <v>1042</v>
      </c>
      <c r="H966" t="s">
        <v>18</v>
      </c>
    </row>
    <row r="967" spans="7:8">
      <c r="G967" s="105" t="s">
        <v>1024</v>
      </c>
      <c r="H967" t="s">
        <v>32</v>
      </c>
    </row>
    <row r="968" spans="7:8">
      <c r="G968" s="105" t="s">
        <v>1025</v>
      </c>
      <c r="H968" t="s">
        <v>22</v>
      </c>
    </row>
    <row r="969" spans="7:8">
      <c r="G969" s="105" t="s">
        <v>1026</v>
      </c>
      <c r="H969" t="s">
        <v>28</v>
      </c>
    </row>
    <row r="970" spans="7:8">
      <c r="G970" s="105" t="s">
        <v>1038</v>
      </c>
      <c r="H970" t="s">
        <v>23</v>
      </c>
    </row>
    <row r="971" spans="7:8">
      <c r="G971" s="105" t="s">
        <v>1039</v>
      </c>
      <c r="H971" t="s">
        <v>23</v>
      </c>
    </row>
    <row r="972" spans="7:8">
      <c r="G972" s="105" t="s">
        <v>1040</v>
      </c>
      <c r="H972" t="s">
        <v>23</v>
      </c>
    </row>
    <row r="973" spans="7:8">
      <c r="G973" s="101" t="s">
        <v>1043</v>
      </c>
      <c r="H973" t="s">
        <v>23</v>
      </c>
    </row>
    <row r="974" spans="7:8">
      <c r="G974" s="101" t="s">
        <v>1044</v>
      </c>
      <c r="H974" t="s">
        <v>23</v>
      </c>
    </row>
    <row r="975" spans="7:8">
      <c r="G975" t="s">
        <v>1049</v>
      </c>
      <c r="H975" t="s">
        <v>39</v>
      </c>
    </row>
    <row r="976" spans="7:8">
      <c r="G976" t="s">
        <v>1045</v>
      </c>
      <c r="H976" t="s">
        <v>19</v>
      </c>
    </row>
    <row r="977" spans="7:8">
      <c r="G977" s="101" t="s">
        <v>1048</v>
      </c>
      <c r="H977" t="s">
        <v>26</v>
      </c>
    </row>
    <row r="978" spans="7:8">
      <c r="G978" s="101" t="s">
        <v>1046</v>
      </c>
      <c r="H978" t="s">
        <v>26</v>
      </c>
    </row>
    <row r="979" spans="7:8">
      <c r="G979" s="101" t="s">
        <v>1047</v>
      </c>
      <c r="H979" t="s">
        <v>32</v>
      </c>
    </row>
    <row r="980" spans="7:8">
      <c r="G980" s="101" t="s">
        <v>1050</v>
      </c>
      <c r="H980" t="s">
        <v>19</v>
      </c>
    </row>
    <row r="981" spans="7:8">
      <c r="G981" s="101" t="s">
        <v>1051</v>
      </c>
      <c r="H981" t="s">
        <v>19</v>
      </c>
    </row>
    <row r="982" spans="7:8">
      <c r="G982" s="101" t="s">
        <v>1052</v>
      </c>
      <c r="H982" t="s">
        <v>22</v>
      </c>
    </row>
    <row r="983" spans="7:8">
      <c r="G983" s="101" t="s">
        <v>1053</v>
      </c>
      <c r="H983" t="s">
        <v>19</v>
      </c>
    </row>
    <row r="984" spans="7:8">
      <c r="G984" s="101" t="s">
        <v>1054</v>
      </c>
      <c r="H984" t="s">
        <v>26</v>
      </c>
    </row>
    <row r="985" spans="7:8">
      <c r="G985" s="101" t="s">
        <v>1055</v>
      </c>
      <c r="H985" t="s">
        <v>19</v>
      </c>
    </row>
    <row r="986" spans="7:8">
      <c r="G986" s="101" t="s">
        <v>1056</v>
      </c>
      <c r="H986" t="s">
        <v>39</v>
      </c>
    </row>
    <row r="987" spans="7:8">
      <c r="G987" s="101" t="s">
        <v>1057</v>
      </c>
      <c r="H987" t="s">
        <v>19</v>
      </c>
    </row>
    <row r="988" spans="7:8">
      <c r="G988" s="101" t="s">
        <v>1058</v>
      </c>
      <c r="H988" t="s">
        <v>22</v>
      </c>
    </row>
    <row r="989" spans="7:8">
      <c r="G989" s="101" t="s">
        <v>1059</v>
      </c>
      <c r="H989" t="s">
        <v>19</v>
      </c>
    </row>
    <row r="990" spans="7:8">
      <c r="G990" s="101" t="s">
        <v>1060</v>
      </c>
      <c r="H990" t="s">
        <v>25</v>
      </c>
    </row>
    <row r="991" spans="7:8">
      <c r="G991" s="101" t="s">
        <v>1061</v>
      </c>
      <c r="H991" t="s">
        <v>21</v>
      </c>
    </row>
    <row r="992" spans="7:8">
      <c r="G992" s="101" t="s">
        <v>1062</v>
      </c>
      <c r="H992" t="s">
        <v>39</v>
      </c>
    </row>
    <row r="993" spans="7:8">
      <c r="G993" s="101" t="s">
        <v>1062</v>
      </c>
      <c r="H993" t="s">
        <v>39</v>
      </c>
    </row>
    <row r="994" spans="7:8">
      <c r="G994" s="101" t="s">
        <v>1063</v>
      </c>
      <c r="H994" t="s">
        <v>5</v>
      </c>
    </row>
    <row r="995" spans="7:8">
      <c r="G995" s="101" t="s">
        <v>1064</v>
      </c>
      <c r="H995" t="s">
        <v>22</v>
      </c>
    </row>
    <row r="996" spans="7:8">
      <c r="G996" s="101" t="s">
        <v>1065</v>
      </c>
      <c r="H996" t="s">
        <v>22</v>
      </c>
    </row>
    <row r="997" spans="7:8">
      <c r="G997" s="101" t="s">
        <v>1066</v>
      </c>
      <c r="H997" t="s">
        <v>28</v>
      </c>
    </row>
    <row r="998" spans="7:8">
      <c r="G998" s="101" t="s">
        <v>1067</v>
      </c>
      <c r="H998" t="s">
        <v>18</v>
      </c>
    </row>
    <row r="999" spans="7:8">
      <c r="G999" s="101" t="s">
        <v>1068</v>
      </c>
      <c r="H999" t="s">
        <v>18</v>
      </c>
    </row>
    <row r="1000" spans="7:8">
      <c r="G1000" s="101" t="s">
        <v>1069</v>
      </c>
      <c r="H1000" t="s">
        <v>18</v>
      </c>
    </row>
    <row r="1001" spans="7:8">
      <c r="G1001" s="101" t="s">
        <v>1070</v>
      </c>
      <c r="H1001" t="s">
        <v>18</v>
      </c>
    </row>
    <row r="1002" spans="7:8">
      <c r="G1002" s="101" t="s">
        <v>1071</v>
      </c>
      <c r="H1002" t="s">
        <v>18</v>
      </c>
    </row>
    <row r="1003" spans="7:8">
      <c r="G1003" s="101" t="s">
        <v>1072</v>
      </c>
      <c r="H1003" t="s">
        <v>18</v>
      </c>
    </row>
    <row r="1004" spans="7:8">
      <c r="G1004" s="101" t="s">
        <v>1073</v>
      </c>
      <c r="H1004" t="s">
        <v>18</v>
      </c>
    </row>
    <row r="1005" spans="7:8">
      <c r="G1005" s="101" t="s">
        <v>1074</v>
      </c>
      <c r="H1005" t="s">
        <v>18</v>
      </c>
    </row>
    <row r="1006" spans="7:8">
      <c r="G1006" s="101" t="s">
        <v>1075</v>
      </c>
      <c r="H1006" t="s">
        <v>22</v>
      </c>
    </row>
    <row r="1007" spans="7:8">
      <c r="G1007" s="101" t="s">
        <v>1076</v>
      </c>
      <c r="H1007" t="s">
        <v>22</v>
      </c>
    </row>
    <row r="1008" spans="7:8">
      <c r="G1008" s="101" t="s">
        <v>1077</v>
      </c>
      <c r="H1008" t="s">
        <v>24</v>
      </c>
    </row>
    <row r="1009" spans="7:8">
      <c r="G1009" s="101" t="s">
        <v>1078</v>
      </c>
      <c r="H1009" t="s">
        <v>22</v>
      </c>
    </row>
    <row r="1010" spans="7:8">
      <c r="G1010" s="101" t="s">
        <v>1079</v>
      </c>
      <c r="H1010" t="s">
        <v>23</v>
      </c>
    </row>
    <row r="1011" spans="7:8">
      <c r="G1011" s="101" t="s">
        <v>1080</v>
      </c>
      <c r="H1011" t="s">
        <v>22</v>
      </c>
    </row>
    <row r="1012" spans="7:8">
      <c r="G1012" t="s">
        <v>1081</v>
      </c>
      <c r="H1012" t="s">
        <v>22</v>
      </c>
    </row>
    <row r="1013" spans="7:8">
      <c r="G1013" s="101" t="s">
        <v>1082</v>
      </c>
      <c r="H1013" t="s">
        <v>26</v>
      </c>
    </row>
    <row r="1014" spans="7:8">
      <c r="G1014" t="s">
        <v>1083</v>
      </c>
      <c r="H1014" t="s">
        <v>32</v>
      </c>
    </row>
    <row r="1015" spans="7:8">
      <c r="G1015" s="108" t="s">
        <v>1084</v>
      </c>
      <c r="H1015" t="s">
        <v>28</v>
      </c>
    </row>
    <row r="1016" spans="7:8">
      <c r="G1016" s="108" t="s">
        <v>1085</v>
      </c>
      <c r="H1016" t="s">
        <v>27</v>
      </c>
    </row>
    <row r="1017" spans="7:8">
      <c r="G1017" s="108" t="s">
        <v>1086</v>
      </c>
      <c r="H1017" t="s">
        <v>18</v>
      </c>
    </row>
    <row r="1018" spans="7:8">
      <c r="G1018" s="108" t="s">
        <v>1087</v>
      </c>
      <c r="H1018" t="s">
        <v>18</v>
      </c>
    </row>
    <row r="1019" spans="7:8">
      <c r="G1019" s="108" t="s">
        <v>1088</v>
      </c>
      <c r="H1019" t="s">
        <v>22</v>
      </c>
    </row>
    <row r="1020" spans="7:8">
      <c r="G1020" s="108" t="s">
        <v>1089</v>
      </c>
      <c r="H1020" t="s">
        <v>21</v>
      </c>
    </row>
    <row r="1021" spans="7:8">
      <c r="G1021" s="108" t="s">
        <v>1090</v>
      </c>
      <c r="H1021" t="s">
        <v>19</v>
      </c>
    </row>
    <row r="1022" spans="7:8">
      <c r="G1022" s="108" t="s">
        <v>1091</v>
      </c>
      <c r="H1022" t="s">
        <v>22</v>
      </c>
    </row>
    <row r="1023" spans="7:8">
      <c r="G1023" t="s">
        <v>1092</v>
      </c>
      <c r="H1023" t="s">
        <v>22</v>
      </c>
    </row>
    <row r="1024" spans="7:8">
      <c r="G1024" t="s">
        <v>1093</v>
      </c>
      <c r="H1024" t="s">
        <v>32</v>
      </c>
    </row>
    <row r="1025" spans="7:8">
      <c r="G1025" t="s">
        <v>1094</v>
      </c>
      <c r="H1025" t="s">
        <v>22</v>
      </c>
    </row>
    <row r="1026" spans="7:8">
      <c r="G1026" s="108" t="s">
        <v>1095</v>
      </c>
      <c r="H1026" t="s">
        <v>25</v>
      </c>
    </row>
    <row r="1027" spans="7:8">
      <c r="G1027" s="108" t="s">
        <v>1096</v>
      </c>
      <c r="H1027" t="s">
        <v>18</v>
      </c>
    </row>
    <row r="1028" spans="7:8">
      <c r="G1028" s="108" t="s">
        <v>1097</v>
      </c>
      <c r="H1028" t="s">
        <v>25</v>
      </c>
    </row>
    <row r="1029" spans="7:8">
      <c r="G1029" s="108" t="s">
        <v>1098</v>
      </c>
      <c r="H1029" t="s">
        <v>27</v>
      </c>
    </row>
    <row r="1030" spans="7:8">
      <c r="G1030" s="108" t="s">
        <v>1099</v>
      </c>
      <c r="H1030" t="s">
        <v>18</v>
      </c>
    </row>
    <row r="1031" spans="7:8">
      <c r="G1031" s="108" t="s">
        <v>1100</v>
      </c>
      <c r="H1031" t="s">
        <v>32</v>
      </c>
    </row>
    <row r="1032" spans="7:8">
      <c r="G1032" s="108" t="s">
        <v>1101</v>
      </c>
      <c r="H1032" t="s">
        <v>22</v>
      </c>
    </row>
    <row r="1033" spans="7:8">
      <c r="G1033" s="108" t="s">
        <v>1102</v>
      </c>
      <c r="H1033" t="s">
        <v>21</v>
      </c>
    </row>
    <row r="1034" spans="7:8">
      <c r="G1034" s="108" t="s">
        <v>1103</v>
      </c>
      <c r="H1034" t="s">
        <v>21</v>
      </c>
    </row>
    <row r="1035" spans="7:8">
      <c r="G1035" s="108" t="s">
        <v>1100</v>
      </c>
      <c r="H1035" t="s">
        <v>32</v>
      </c>
    </row>
    <row r="1036" spans="7:8">
      <c r="G1036" s="108" t="s">
        <v>1104</v>
      </c>
      <c r="H1036" t="s">
        <v>32</v>
      </c>
    </row>
    <row r="1037" spans="7:8">
      <c r="G1037" s="108" t="s">
        <v>1101</v>
      </c>
      <c r="H1037" t="s">
        <v>22</v>
      </c>
    </row>
    <row r="1038" spans="7:8">
      <c r="G1038" s="108" t="s">
        <v>1105</v>
      </c>
      <c r="H1038" t="s">
        <v>32</v>
      </c>
    </row>
    <row r="1039" spans="7:8">
      <c r="G1039" s="108" t="s">
        <v>1106</v>
      </c>
      <c r="H1039" t="s">
        <v>28</v>
      </c>
    </row>
    <row r="1040" spans="7:8">
      <c r="G1040" s="108" t="s">
        <v>1107</v>
      </c>
      <c r="H1040" t="s">
        <v>28</v>
      </c>
    </row>
    <row r="1041" spans="7:8">
      <c r="G1041" s="108" t="s">
        <v>1108</v>
      </c>
      <c r="H1041" t="s">
        <v>39</v>
      </c>
    </row>
    <row r="1042" spans="7:8">
      <c r="G1042" s="108" t="s">
        <v>1109</v>
      </c>
      <c r="H1042" t="s">
        <v>26</v>
      </c>
    </row>
    <row r="1043" spans="7:8">
      <c r="G1043" s="108" t="s">
        <v>1110</v>
      </c>
      <c r="H1043" t="s">
        <v>19</v>
      </c>
    </row>
    <row r="1044" spans="7:8">
      <c r="G1044" s="108" t="s">
        <v>1111</v>
      </c>
      <c r="H1044" t="s">
        <v>22</v>
      </c>
    </row>
    <row r="1045" spans="7:8">
      <c r="G1045" s="108" t="s">
        <v>1112</v>
      </c>
      <c r="H1045" t="s">
        <v>22</v>
      </c>
    </row>
    <row r="1046" spans="7:8">
      <c r="G1046" s="108" t="s">
        <v>1113</v>
      </c>
      <c r="H1046" t="s">
        <v>22</v>
      </c>
    </row>
    <row r="1047" spans="7:8">
      <c r="G1047" s="108" t="s">
        <v>1114</v>
      </c>
      <c r="H1047" t="s">
        <v>28</v>
      </c>
    </row>
    <row r="1048" spans="7:8">
      <c r="G1048" s="108" t="s">
        <v>1115</v>
      </c>
      <c r="H1048" t="s">
        <v>18</v>
      </c>
    </row>
    <row r="1049" spans="7:8">
      <c r="G1049" s="108" t="s">
        <v>1116</v>
      </c>
      <c r="H1049" t="s">
        <v>18</v>
      </c>
    </row>
    <row r="1050" spans="7:8">
      <c r="G1050" s="108" t="s">
        <v>1117</v>
      </c>
      <c r="H1050" t="s">
        <v>18</v>
      </c>
    </row>
    <row r="1051" spans="7:8">
      <c r="G1051" s="108" t="s">
        <v>1118</v>
      </c>
      <c r="H1051" t="s">
        <v>18</v>
      </c>
    </row>
    <row r="1052" spans="7:8">
      <c r="G1052" s="108" t="s">
        <v>1119</v>
      </c>
      <c r="H1052" t="s">
        <v>18</v>
      </c>
    </row>
    <row r="1053" spans="7:8">
      <c r="G1053" s="108" t="s">
        <v>1120</v>
      </c>
      <c r="H1053" t="s">
        <v>18</v>
      </c>
    </row>
    <row r="1054" spans="7:8">
      <c r="G1054" s="108" t="s">
        <v>113</v>
      </c>
      <c r="H1054" t="s">
        <v>35</v>
      </c>
    </row>
    <row r="1055" spans="7:8">
      <c r="G1055" s="108" t="s">
        <v>1121</v>
      </c>
      <c r="H1055" t="s">
        <v>27</v>
      </c>
    </row>
    <row r="1056" spans="7:8">
      <c r="G1056" s="108" t="s">
        <v>1122</v>
      </c>
      <c r="H1056" t="s">
        <v>23</v>
      </c>
    </row>
    <row r="1057" spans="7:8">
      <c r="G1057" s="108" t="s">
        <v>1123</v>
      </c>
      <c r="H1057" t="s">
        <v>18</v>
      </c>
    </row>
    <row r="1058" spans="7:8">
      <c r="G1058" s="108" t="s">
        <v>1124</v>
      </c>
      <c r="H1058" t="s">
        <v>35</v>
      </c>
    </row>
    <row r="1059" spans="7:8">
      <c r="G1059" s="108" t="s">
        <v>1125</v>
      </c>
      <c r="H1059" t="s">
        <v>25</v>
      </c>
    </row>
    <row r="1060" spans="7:8">
      <c r="G1060" s="108" t="s">
        <v>1126</v>
      </c>
      <c r="H1060" t="s">
        <v>35</v>
      </c>
    </row>
    <row r="1061" spans="7:8">
      <c r="G1061" s="108" t="s">
        <v>1127</v>
      </c>
      <c r="H1061" t="s">
        <v>18</v>
      </c>
    </row>
    <row r="1062" spans="7:8">
      <c r="G1062" s="108" t="s">
        <v>1128</v>
      </c>
      <c r="H1062" t="s">
        <v>28</v>
      </c>
    </row>
    <row r="1063" spans="7:8">
      <c r="G1063" s="108" t="s">
        <v>1129</v>
      </c>
      <c r="H1063" t="s">
        <v>24</v>
      </c>
    </row>
    <row r="1064" spans="7:8">
      <c r="G1064" t="s">
        <v>1130</v>
      </c>
      <c r="H1064" t="s">
        <v>22</v>
      </c>
    </row>
    <row r="1065" spans="7:8">
      <c r="G1065" t="s">
        <v>1131</v>
      </c>
      <c r="H1065" t="s">
        <v>22</v>
      </c>
    </row>
    <row r="1066" spans="7:8">
      <c r="G1066" t="s">
        <v>742</v>
      </c>
      <c r="H1066" t="s">
        <v>22</v>
      </c>
    </row>
    <row r="1067" spans="7:8">
      <c r="G1067" s="105" t="s">
        <v>1132</v>
      </c>
      <c r="H1067" t="s">
        <v>27</v>
      </c>
    </row>
    <row r="1068" spans="7:8">
      <c r="G1068" s="105" t="s">
        <v>1133</v>
      </c>
      <c r="H1068" t="s">
        <v>18</v>
      </c>
    </row>
    <row r="1069" spans="7:8">
      <c r="G1069" s="105" t="s">
        <v>1134</v>
      </c>
      <c r="H1069" t="s">
        <v>18</v>
      </c>
    </row>
    <row r="1070" spans="7:8">
      <c r="G1070" s="105" t="s">
        <v>1135</v>
      </c>
      <c r="H1070" t="s">
        <v>18</v>
      </c>
    </row>
    <row r="1071" spans="7:8">
      <c r="G1071" s="105" t="s">
        <v>1136</v>
      </c>
      <c r="H1071" t="s">
        <v>18</v>
      </c>
    </row>
    <row r="1072" spans="7:8">
      <c r="G1072" s="105" t="s">
        <v>1137</v>
      </c>
      <c r="H1072" t="s">
        <v>18</v>
      </c>
    </row>
    <row r="1073" spans="7:8">
      <c r="G1073" s="105" t="s">
        <v>1138</v>
      </c>
      <c r="H1073" t="s">
        <v>18</v>
      </c>
    </row>
    <row r="1074" spans="7:8">
      <c r="G1074" s="105" t="s">
        <v>1139</v>
      </c>
      <c r="H1074" t="s">
        <v>18</v>
      </c>
    </row>
    <row r="1075" spans="7:8">
      <c r="G1075" s="105" t="s">
        <v>1140</v>
      </c>
      <c r="H1075" t="s">
        <v>18</v>
      </c>
    </row>
    <row r="1076" spans="7:8">
      <c r="G1076" s="105" t="s">
        <v>1141</v>
      </c>
      <c r="H1076" t="s">
        <v>18</v>
      </c>
    </row>
    <row r="1077" spans="7:8">
      <c r="G1077" s="105" t="s">
        <v>1142</v>
      </c>
      <c r="H1077" t="s">
        <v>18</v>
      </c>
    </row>
    <row r="1078" spans="7:8">
      <c r="G1078" s="105" t="s">
        <v>1143</v>
      </c>
      <c r="H1078" t="s">
        <v>18</v>
      </c>
    </row>
    <row r="1079" spans="7:8">
      <c r="G1079" s="105" t="s">
        <v>1144</v>
      </c>
      <c r="H1079" t="s">
        <v>18</v>
      </c>
    </row>
    <row r="1080" spans="7:8">
      <c r="G1080" s="105" t="s">
        <v>1145</v>
      </c>
      <c r="H1080" t="s">
        <v>18</v>
      </c>
    </row>
    <row r="1081" spans="7:8">
      <c r="G1081" s="105" t="s">
        <v>1146</v>
      </c>
      <c r="H1081" t="s">
        <v>18</v>
      </c>
    </row>
    <row r="1082" spans="7:8">
      <c r="G1082" s="105" t="s">
        <v>1147</v>
      </c>
      <c r="H1082" t="s">
        <v>18</v>
      </c>
    </row>
    <row r="1083" spans="7:8">
      <c r="G1083" s="105" t="s">
        <v>1148</v>
      </c>
      <c r="H1083" t="s">
        <v>18</v>
      </c>
    </row>
    <row r="1084" spans="7:8">
      <c r="G1084" s="105" t="s">
        <v>1149</v>
      </c>
      <c r="H1084" t="s">
        <v>18</v>
      </c>
    </row>
    <row r="1085" spans="7:8">
      <c r="G1085" s="105" t="s">
        <v>1150</v>
      </c>
      <c r="H1085" t="s">
        <v>18</v>
      </c>
    </row>
    <row r="1086" spans="7:8">
      <c r="G1086" s="105" t="s">
        <v>1151</v>
      </c>
      <c r="H1086" t="s">
        <v>18</v>
      </c>
    </row>
    <row r="1087" spans="7:8">
      <c r="G1087" s="105" t="s">
        <v>1152</v>
      </c>
      <c r="H1087" t="s">
        <v>18</v>
      </c>
    </row>
    <row r="1088" spans="7:8">
      <c r="G1088" s="105" t="s">
        <v>1153</v>
      </c>
      <c r="H1088" t="s">
        <v>39</v>
      </c>
    </row>
    <row r="1089" spans="7:8">
      <c r="G1089" s="105" t="s">
        <v>1154</v>
      </c>
      <c r="H1089" t="s">
        <v>39</v>
      </c>
    </row>
    <row r="1090" spans="7:8">
      <c r="G1090" s="105" t="s">
        <v>1155</v>
      </c>
      <c r="H1090" t="s">
        <v>22</v>
      </c>
    </row>
    <row r="1091" spans="7:8">
      <c r="G1091" s="108" t="s">
        <v>1157</v>
      </c>
      <c r="H1091" t="s">
        <v>26</v>
      </c>
    </row>
    <row r="1092" spans="7:8">
      <c r="G1092" s="108" t="s">
        <v>1158</v>
      </c>
      <c r="H1092" t="s">
        <v>23</v>
      </c>
    </row>
    <row r="1093" spans="7:8">
      <c r="G1093" s="108" t="s">
        <v>1159</v>
      </c>
      <c r="H1093" t="s">
        <v>23</v>
      </c>
    </row>
    <row r="1094" spans="7:8">
      <c r="G1094" s="108" t="s">
        <v>1160</v>
      </c>
      <c r="H1094" t="s">
        <v>28</v>
      </c>
    </row>
    <row r="1095" spans="7:8">
      <c r="G1095" s="108" t="s">
        <v>1161</v>
      </c>
      <c r="H1095" t="s">
        <v>26</v>
      </c>
    </row>
    <row r="1096" spans="7:8">
      <c r="G1096" s="108" t="s">
        <v>1162</v>
      </c>
      <c r="H1096" t="s">
        <v>26</v>
      </c>
    </row>
    <row r="1097" spans="7:8">
      <c r="G1097" s="108" t="s">
        <v>1163</v>
      </c>
      <c r="H1097" t="s">
        <v>28</v>
      </c>
    </row>
    <row r="1098" spans="7:8">
      <c r="G1098" s="108" t="s">
        <v>1164</v>
      </c>
      <c r="H1098" t="s">
        <v>26</v>
      </c>
    </row>
    <row r="1099" spans="7:8">
      <c r="G1099" s="108" t="s">
        <v>1165</v>
      </c>
      <c r="H1099" t="s">
        <v>28</v>
      </c>
    </row>
    <row r="1100" spans="7:8">
      <c r="G1100" s="108" t="s">
        <v>1166</v>
      </c>
      <c r="H1100" t="s">
        <v>28</v>
      </c>
    </row>
    <row r="1101" spans="7:8">
      <c r="G1101" s="108" t="s">
        <v>1167</v>
      </c>
      <c r="H1101" t="s">
        <v>28</v>
      </c>
    </row>
    <row r="1102" spans="7:8">
      <c r="G1102" s="108" t="s">
        <v>1168</v>
      </c>
      <c r="H1102" t="s">
        <v>26</v>
      </c>
    </row>
    <row r="1103" spans="7:8">
      <c r="G1103" s="108" t="s">
        <v>1169</v>
      </c>
      <c r="H1103" t="s">
        <v>32</v>
      </c>
    </row>
    <row r="1104" spans="7:8">
      <c r="G1104" s="108" t="s">
        <v>1170</v>
      </c>
      <c r="H1104" t="s">
        <v>32</v>
      </c>
    </row>
    <row r="1105" spans="7:8">
      <c r="G1105" s="105" t="s">
        <v>1171</v>
      </c>
      <c r="H1105" t="s">
        <v>28</v>
      </c>
    </row>
    <row r="1106" spans="7:8">
      <c r="G1106" s="108" t="s">
        <v>1172</v>
      </c>
      <c r="H1106" t="s">
        <v>26</v>
      </c>
    </row>
    <row r="1107" spans="7:8">
      <c r="G1107" s="108" t="s">
        <v>1173</v>
      </c>
      <c r="H1107" t="s">
        <v>26</v>
      </c>
    </row>
    <row r="1108" spans="7:8">
      <c r="G1108" s="108" t="s">
        <v>1174</v>
      </c>
      <c r="H1108" t="s">
        <v>24</v>
      </c>
    </row>
    <row r="1109" spans="7:8">
      <c r="G1109" s="108" t="s">
        <v>1175</v>
      </c>
      <c r="H1109" t="s">
        <v>26</v>
      </c>
    </row>
    <row r="1110" spans="7:8">
      <c r="G1110" s="108" t="s">
        <v>1176</v>
      </c>
      <c r="H1110" t="s">
        <v>28</v>
      </c>
    </row>
    <row r="1111" spans="7:8">
      <c r="G1111" s="108" t="s">
        <v>1177</v>
      </c>
      <c r="H1111" t="s">
        <v>26</v>
      </c>
    </row>
    <row r="1112" spans="7:8">
      <c r="G1112" t="s">
        <v>1178</v>
      </c>
      <c r="H1112" t="s">
        <v>26</v>
      </c>
    </row>
    <row r="1113" spans="7:8">
      <c r="G1113" s="108" t="s">
        <v>1179</v>
      </c>
      <c r="H1113" t="s">
        <v>22</v>
      </c>
    </row>
    <row r="1114" spans="7:8">
      <c r="G1114" s="108" t="s">
        <v>1180</v>
      </c>
      <c r="H1114" t="s">
        <v>28</v>
      </c>
    </row>
    <row r="1115" spans="7:8">
      <c r="G1115" s="108" t="s">
        <v>1181</v>
      </c>
      <c r="H1115" t="s">
        <v>18</v>
      </c>
    </row>
    <row r="1116" spans="7:8">
      <c r="G1116" s="108" t="s">
        <v>1182</v>
      </c>
      <c r="H1116" t="s">
        <v>18</v>
      </c>
    </row>
    <row r="1117" spans="7:8">
      <c r="G1117" s="108" t="s">
        <v>1183</v>
      </c>
      <c r="H1117" t="s">
        <v>18</v>
      </c>
    </row>
    <row r="1118" spans="7:8">
      <c r="G1118" s="108" t="s">
        <v>1184</v>
      </c>
      <c r="H1118" t="s">
        <v>18</v>
      </c>
    </row>
    <row r="1119" spans="7:8">
      <c r="G1119" s="108" t="s">
        <v>1185</v>
      </c>
      <c r="H1119" t="s">
        <v>18</v>
      </c>
    </row>
    <row r="1120" spans="7:8">
      <c r="G1120" s="108" t="s">
        <v>1186</v>
      </c>
      <c r="H1120" t="s">
        <v>22</v>
      </c>
    </row>
    <row r="1121" spans="7:8">
      <c r="G1121" s="108" t="s">
        <v>1187</v>
      </c>
      <c r="H1121" t="s">
        <v>28</v>
      </c>
    </row>
    <row r="1122" spans="7:8">
      <c r="G1122" s="108" t="s">
        <v>1188</v>
      </c>
      <c r="H1122" t="s">
        <v>20</v>
      </c>
    </row>
    <row r="1123" spans="7:8">
      <c r="G1123" s="108" t="s">
        <v>1189</v>
      </c>
      <c r="H1123" t="s">
        <v>22</v>
      </c>
    </row>
    <row r="1124" spans="7:8">
      <c r="G1124" s="108" t="s">
        <v>1190</v>
      </c>
      <c r="H1124" t="s">
        <v>32</v>
      </c>
    </row>
    <row r="1125" spans="7:8">
      <c r="G1125" s="108" t="s">
        <v>1191</v>
      </c>
      <c r="H1125" t="s">
        <v>20</v>
      </c>
    </row>
    <row r="1126" spans="7:8">
      <c r="G1126" s="108" t="s">
        <v>1193</v>
      </c>
      <c r="H1126" t="s">
        <v>22</v>
      </c>
    </row>
    <row r="1127" spans="7:8">
      <c r="G1127" s="108" t="s">
        <v>1192</v>
      </c>
      <c r="H1127" t="s">
        <v>19</v>
      </c>
    </row>
    <row r="1128" spans="7:8">
      <c r="G1128" s="108" t="s">
        <v>1194</v>
      </c>
      <c r="H1128" t="s">
        <v>22</v>
      </c>
    </row>
    <row r="1129" spans="7:8">
      <c r="G1129" s="108" t="s">
        <v>1195</v>
      </c>
      <c r="H1129" t="s">
        <v>28</v>
      </c>
    </row>
    <row r="1130" spans="7:8">
      <c r="G1130" s="108" t="s">
        <v>1196</v>
      </c>
      <c r="H1130" t="s">
        <v>24</v>
      </c>
    </row>
    <row r="1131" spans="7:8">
      <c r="G1131" s="108" t="s">
        <v>1197</v>
      </c>
      <c r="H1131" t="s">
        <v>28</v>
      </c>
    </row>
    <row r="1132" spans="7:8">
      <c r="G1132" s="105" t="s">
        <v>1204</v>
      </c>
      <c r="H1132" t="s">
        <v>20</v>
      </c>
    </row>
    <row r="1133" spans="7:8">
      <c r="G1133" s="105" t="s">
        <v>1205</v>
      </c>
      <c r="H1133" t="s">
        <v>27</v>
      </c>
    </row>
    <row r="1134" spans="7:8">
      <c r="G1134" s="105" t="s">
        <v>1206</v>
      </c>
      <c r="H1134" t="s">
        <v>28</v>
      </c>
    </row>
    <row r="1135" spans="7:8">
      <c r="G1135" s="105" t="s">
        <v>1207</v>
      </c>
      <c r="H1135" t="s">
        <v>20</v>
      </c>
    </row>
    <row r="1136" spans="7:8">
      <c r="G1136" s="105" t="s">
        <v>1203</v>
      </c>
      <c r="H1136" t="s">
        <v>20</v>
      </c>
    </row>
    <row r="1137" spans="7:8">
      <c r="G1137" s="105" t="s">
        <v>1201</v>
      </c>
      <c r="H1137" t="s">
        <v>24</v>
      </c>
    </row>
    <row r="1138" spans="7:8">
      <c r="G1138" s="105" t="s">
        <v>1202</v>
      </c>
      <c r="H1138" t="s">
        <v>32</v>
      </c>
    </row>
    <row r="1139" spans="7:8">
      <c r="G1139" s="105" t="s">
        <v>1199</v>
      </c>
      <c r="H1139" t="s">
        <v>20</v>
      </c>
    </row>
    <row r="1140" spans="7:8">
      <c r="G1140" s="105" t="s">
        <v>1200</v>
      </c>
      <c r="H1140" t="s">
        <v>22</v>
      </c>
    </row>
    <row r="1141" spans="7:8">
      <c r="G1141" s="105" t="s">
        <v>1198</v>
      </c>
      <c r="H1141" t="s">
        <v>26</v>
      </c>
    </row>
    <row r="1142" spans="7:8">
      <c r="G1142" s="108" t="s">
        <v>1208</v>
      </c>
      <c r="H1142" t="s">
        <v>27</v>
      </c>
    </row>
    <row r="1143" spans="7:8">
      <c r="G1143" s="108" t="s">
        <v>1209</v>
      </c>
      <c r="H1143" t="s">
        <v>19</v>
      </c>
    </row>
    <row r="1144" spans="7:8">
      <c r="G1144" s="108" t="s">
        <v>1210</v>
      </c>
      <c r="H1144" t="s">
        <v>24</v>
      </c>
    </row>
    <row r="1145" spans="7:8">
      <c r="G1145" s="108" t="s">
        <v>1211</v>
      </c>
      <c r="H1145" t="s">
        <v>5</v>
      </c>
    </row>
    <row r="1146" spans="7:8">
      <c r="G1146" s="108" t="s">
        <v>1212</v>
      </c>
      <c r="H1146" t="s">
        <v>24</v>
      </c>
    </row>
    <row r="1147" spans="7:8">
      <c r="G1147" s="108" t="s">
        <v>1213</v>
      </c>
      <c r="H1147" t="s">
        <v>18</v>
      </c>
    </row>
    <row r="1148" spans="7:8">
      <c r="G1148" s="108" t="s">
        <v>1214</v>
      </c>
      <c r="H1148" t="s">
        <v>22</v>
      </c>
    </row>
    <row r="1149" spans="7:8">
      <c r="G1149" s="108" t="s">
        <v>1215</v>
      </c>
      <c r="H1149" t="s">
        <v>24</v>
      </c>
    </row>
    <row r="1150" spans="7:8">
      <c r="G1150" s="108" t="s">
        <v>1216</v>
      </c>
      <c r="H1150" t="s">
        <v>32</v>
      </c>
    </row>
    <row r="1151" spans="7:8">
      <c r="G1151" s="108" t="s">
        <v>1217</v>
      </c>
      <c r="H1151" t="s">
        <v>5</v>
      </c>
    </row>
    <row r="1152" spans="7:8">
      <c r="G1152" s="108" t="s">
        <v>1218</v>
      </c>
      <c r="H1152" t="s">
        <v>18</v>
      </c>
    </row>
    <row r="1153" spans="7:8">
      <c r="G1153" s="105" t="s">
        <v>1219</v>
      </c>
      <c r="H1153" t="s">
        <v>22</v>
      </c>
    </row>
    <row r="1154" spans="7:8">
      <c r="G1154" s="105" t="s">
        <v>1220</v>
      </c>
      <c r="H1154" t="s">
        <v>18</v>
      </c>
    </row>
    <row r="1155" spans="7:8">
      <c r="G1155" s="108" t="s">
        <v>1221</v>
      </c>
      <c r="H1155" t="s">
        <v>23</v>
      </c>
    </row>
    <row r="1156" spans="7:8">
      <c r="G1156" s="108" t="s">
        <v>1222</v>
      </c>
      <c r="H1156" t="s">
        <v>20</v>
      </c>
    </row>
    <row r="1157" spans="7:8">
      <c r="G1157" s="108" t="s">
        <v>1223</v>
      </c>
      <c r="H1157" t="s">
        <v>28</v>
      </c>
    </row>
    <row r="1158" spans="7:8">
      <c r="G1158" s="113" t="s">
        <v>1224</v>
      </c>
      <c r="H1158" t="s">
        <v>20</v>
      </c>
    </row>
    <row r="1159" spans="7:8">
      <c r="G1159" s="113" t="s">
        <v>1225</v>
      </c>
      <c r="H1159" t="s">
        <v>19</v>
      </c>
    </row>
    <row r="1160" spans="7:8">
      <c r="G1160" s="113" t="s">
        <v>1226</v>
      </c>
      <c r="H1160" t="s">
        <v>19</v>
      </c>
    </row>
    <row r="1161" spans="7:8">
      <c r="G1161" s="113" t="s">
        <v>1227</v>
      </c>
      <c r="H1161" t="s">
        <v>5</v>
      </c>
    </row>
    <row r="1162" spans="7:8">
      <c r="G1162" s="113" t="s">
        <v>1228</v>
      </c>
      <c r="H1162" t="s">
        <v>24</v>
      </c>
    </row>
    <row r="1163" spans="7:8">
      <c r="G1163" s="113" t="s">
        <v>1229</v>
      </c>
      <c r="H1163" t="s">
        <v>28</v>
      </c>
    </row>
    <row r="1164" spans="7:8">
      <c r="G1164" s="113" t="s">
        <v>1230</v>
      </c>
      <c r="H1164" t="s">
        <v>23</v>
      </c>
    </row>
    <row r="1165" spans="7:8">
      <c r="G1165" s="113" t="s">
        <v>1231</v>
      </c>
      <c r="H1165" t="s">
        <v>24</v>
      </c>
    </row>
    <row r="1166" spans="7:8">
      <c r="G1166" s="113" t="s">
        <v>1232</v>
      </c>
      <c r="H1166" t="s">
        <v>23</v>
      </c>
    </row>
    <row r="1167" spans="7:8">
      <c r="G1167" s="113" t="s">
        <v>1233</v>
      </c>
      <c r="H1167" t="s">
        <v>28</v>
      </c>
    </row>
    <row r="1168" spans="7:8">
      <c r="G1168" s="113" t="s">
        <v>1234</v>
      </c>
      <c r="H1168" t="s">
        <v>19</v>
      </c>
    </row>
    <row r="1169" spans="7:8">
      <c r="G1169" s="113" t="s">
        <v>1235</v>
      </c>
      <c r="H1169" t="s">
        <v>19</v>
      </c>
    </row>
    <row r="1170" spans="7:8">
      <c r="G1170" s="113" t="s">
        <v>1236</v>
      </c>
      <c r="H1170" t="s">
        <v>18</v>
      </c>
    </row>
    <row r="1171" spans="7:8">
      <c r="G1171" s="113" t="s">
        <v>1237</v>
      </c>
      <c r="H1171" t="s">
        <v>30</v>
      </c>
    </row>
    <row r="1172" spans="7:8">
      <c r="G1172" s="113" t="s">
        <v>1238</v>
      </c>
      <c r="H1172" t="s">
        <v>18</v>
      </c>
    </row>
    <row r="1173" spans="7:8">
      <c r="G1173" s="113" t="s">
        <v>1239</v>
      </c>
      <c r="H1173" t="s">
        <v>20</v>
      </c>
    </row>
    <row r="1174" spans="7:8">
      <c r="G1174" s="105" t="s">
        <v>1240</v>
      </c>
      <c r="H1174" t="s">
        <v>39</v>
      </c>
    </row>
    <row r="1175" spans="7:8">
      <c r="G1175" s="105" t="s">
        <v>1241</v>
      </c>
      <c r="H1175" t="s">
        <v>25</v>
      </c>
    </row>
    <row r="1176" spans="7:8">
      <c r="G1176" s="105" t="s">
        <v>1242</v>
      </c>
      <c r="H1176" t="s">
        <v>25</v>
      </c>
    </row>
    <row r="1177" spans="7:8">
      <c r="G1177" s="105" t="s">
        <v>1243</v>
      </c>
      <c r="H1177" t="s">
        <v>18</v>
      </c>
    </row>
    <row r="1178" spans="7:8">
      <c r="G1178" s="105" t="s">
        <v>1244</v>
      </c>
      <c r="H1178" t="s">
        <v>28</v>
      </c>
    </row>
    <row r="1179" spans="7:8">
      <c r="G1179" s="105" t="s">
        <v>1245</v>
      </c>
      <c r="H1179" t="s">
        <v>28</v>
      </c>
    </row>
    <row r="1180" spans="7:8">
      <c r="G1180" s="105" t="s">
        <v>1246</v>
      </c>
      <c r="H1180" t="s">
        <v>19</v>
      </c>
    </row>
    <row r="1181" spans="7:8">
      <c r="G1181" s="105" t="s">
        <v>1247</v>
      </c>
      <c r="H1181" t="s">
        <v>21</v>
      </c>
    </row>
    <row r="1182" spans="7:8">
      <c r="G1182" s="105" t="s">
        <v>1248</v>
      </c>
      <c r="H1182" t="s">
        <v>19</v>
      </c>
    </row>
    <row r="1183" spans="7:8">
      <c r="G1183" s="105" t="s">
        <v>1249</v>
      </c>
      <c r="H1183" t="s">
        <v>22</v>
      </c>
    </row>
    <row r="1184" spans="7:8">
      <c r="G1184" s="105" t="s">
        <v>1250</v>
      </c>
      <c r="H1184" t="s">
        <v>26</v>
      </c>
    </row>
    <row r="1185" spans="7:8">
      <c r="G1185" s="118" t="s">
        <v>1251</v>
      </c>
      <c r="H1185" t="s">
        <v>19</v>
      </c>
    </row>
    <row r="1186" spans="7:8">
      <c r="G1186" s="118" t="s">
        <v>1252</v>
      </c>
      <c r="H1186" t="s">
        <v>18</v>
      </c>
    </row>
    <row r="1187" spans="7:8">
      <c r="G1187" s="108" t="s">
        <v>1255</v>
      </c>
      <c r="H1187" t="s">
        <v>18</v>
      </c>
    </row>
    <row r="1188" spans="7:8">
      <c r="G1188" s="108" t="s">
        <v>1256</v>
      </c>
      <c r="H1188" t="s">
        <v>22</v>
      </c>
    </row>
    <row r="1189" spans="7:8">
      <c r="G1189" s="108" t="s">
        <v>1257</v>
      </c>
      <c r="H1189" t="s">
        <v>18</v>
      </c>
    </row>
    <row r="1190" spans="7:8">
      <c r="G1190" s="108" t="s">
        <v>1258</v>
      </c>
      <c r="H1190" t="s">
        <v>24</v>
      </c>
    </row>
    <row r="1191" spans="7:8">
      <c r="G1191" s="108" t="s">
        <v>1259</v>
      </c>
      <c r="H1191" t="s">
        <v>24</v>
      </c>
    </row>
    <row r="1192" spans="7:8">
      <c r="G1192" s="108" t="s">
        <v>1260</v>
      </c>
      <c r="H1192" t="s">
        <v>18</v>
      </c>
    </row>
    <row r="1193" spans="7:8">
      <c r="G1193" s="108" t="s">
        <v>1261</v>
      </c>
      <c r="H1193" t="s">
        <v>18</v>
      </c>
    </row>
    <row r="1194" spans="7:8">
      <c r="G1194" s="108" t="s">
        <v>1262</v>
      </c>
      <c r="H1194" t="s">
        <v>23</v>
      </c>
    </row>
    <row r="1195" spans="7:8">
      <c r="G1195" s="105" t="s">
        <v>1263</v>
      </c>
      <c r="H1195" t="s">
        <v>18</v>
      </c>
    </row>
    <row r="1196" spans="7:8">
      <c r="G1196" s="105" t="s">
        <v>1264</v>
      </c>
      <c r="H1196" t="s">
        <v>18</v>
      </c>
    </row>
    <row r="1197" spans="7:8">
      <c r="G1197" s="105" t="s">
        <v>1265</v>
      </c>
      <c r="H1197" t="s">
        <v>18</v>
      </c>
    </row>
    <row r="1198" spans="7:8">
      <c r="G1198" s="105" t="s">
        <v>1266</v>
      </c>
      <c r="H1198" t="s">
        <v>18</v>
      </c>
    </row>
    <row r="1199" spans="7:8">
      <c r="G1199" s="108" t="s">
        <v>1267</v>
      </c>
      <c r="H1199" t="s">
        <v>28</v>
      </c>
    </row>
    <row r="1200" spans="7:8">
      <c r="G1200" s="108" t="s">
        <v>1268</v>
      </c>
      <c r="H1200" t="s">
        <v>27</v>
      </c>
    </row>
    <row r="1201" spans="7:8">
      <c r="G1201" s="108" t="s">
        <v>1269</v>
      </c>
      <c r="H1201" t="s">
        <v>22</v>
      </c>
    </row>
    <row r="1202" spans="7:8">
      <c r="G1202" s="108" t="s">
        <v>1272</v>
      </c>
      <c r="H1202" t="s">
        <v>23</v>
      </c>
    </row>
    <row r="1203" spans="7:8">
      <c r="G1203" s="108" t="s">
        <v>1299</v>
      </c>
      <c r="H1203" t="s">
        <v>28</v>
      </c>
    </row>
    <row r="1204" spans="7:8">
      <c r="G1204" s="108" t="s">
        <v>1313</v>
      </c>
      <c r="H1204" t="s">
        <v>19</v>
      </c>
    </row>
    <row r="1205" spans="7:8">
      <c r="G1205" s="108" t="s">
        <v>1271</v>
      </c>
      <c r="H1205" t="s">
        <v>19</v>
      </c>
    </row>
    <row r="1206" spans="7:8">
      <c r="G1206" s="108" t="s">
        <v>1273</v>
      </c>
      <c r="H1206" t="s">
        <v>18</v>
      </c>
    </row>
    <row r="1207" spans="7:8">
      <c r="G1207" s="108" t="s">
        <v>1274</v>
      </c>
      <c r="H1207" t="s">
        <v>18</v>
      </c>
    </row>
    <row r="1208" spans="7:8">
      <c r="G1208" s="108" t="s">
        <v>1275</v>
      </c>
      <c r="H1208" t="s">
        <v>18</v>
      </c>
    </row>
    <row r="1209" spans="7:8">
      <c r="G1209" s="108" t="s">
        <v>1276</v>
      </c>
      <c r="H1209" t="s">
        <v>18</v>
      </c>
    </row>
    <row r="1210" spans="7:8">
      <c r="G1210" s="108" t="s">
        <v>1277</v>
      </c>
      <c r="H1210" t="s">
        <v>18</v>
      </c>
    </row>
    <row r="1211" spans="7:8">
      <c r="G1211" s="108" t="s">
        <v>1278</v>
      </c>
      <c r="H1211" t="s">
        <v>18</v>
      </c>
    </row>
    <row r="1212" spans="7:8">
      <c r="G1212" s="108" t="s">
        <v>1279</v>
      </c>
      <c r="H1212" t="s">
        <v>18</v>
      </c>
    </row>
    <row r="1213" spans="7:8">
      <c r="G1213" s="108" t="s">
        <v>1280</v>
      </c>
      <c r="H1213" t="s">
        <v>18</v>
      </c>
    </row>
    <row r="1214" spans="7:8">
      <c r="G1214" s="108" t="s">
        <v>1281</v>
      </c>
      <c r="H1214" t="s">
        <v>18</v>
      </c>
    </row>
    <row r="1215" spans="7:8">
      <c r="G1215" s="108" t="s">
        <v>1282</v>
      </c>
      <c r="H1215" t="s">
        <v>18</v>
      </c>
    </row>
    <row r="1216" spans="7:8">
      <c r="G1216" s="108" t="s">
        <v>1283</v>
      </c>
      <c r="H1216" t="s">
        <v>18</v>
      </c>
    </row>
    <row r="1217" spans="7:8">
      <c r="G1217" s="108" t="s">
        <v>1284</v>
      </c>
      <c r="H1217" t="s">
        <v>18</v>
      </c>
    </row>
    <row r="1218" spans="7:8">
      <c r="G1218" s="108" t="s">
        <v>1285</v>
      </c>
      <c r="H1218" t="s">
        <v>18</v>
      </c>
    </row>
    <row r="1219" spans="7:8">
      <c r="G1219" s="108" t="s">
        <v>1286</v>
      </c>
      <c r="H1219" t="s">
        <v>18</v>
      </c>
    </row>
    <row r="1220" spans="7:8">
      <c r="G1220" s="108" t="s">
        <v>1286</v>
      </c>
      <c r="H1220" t="s">
        <v>18</v>
      </c>
    </row>
    <row r="1221" spans="7:8">
      <c r="G1221" s="108" t="s">
        <v>1287</v>
      </c>
      <c r="H1221" t="s">
        <v>18</v>
      </c>
    </row>
    <row r="1222" spans="7:8">
      <c r="G1222" s="108" t="s">
        <v>1288</v>
      </c>
      <c r="H1222" t="s">
        <v>18</v>
      </c>
    </row>
    <row r="1223" spans="7:8">
      <c r="G1223" s="108" t="s">
        <v>1289</v>
      </c>
      <c r="H1223" t="s">
        <v>18</v>
      </c>
    </row>
    <row r="1224" spans="7:8">
      <c r="G1224" s="108" t="s">
        <v>1290</v>
      </c>
      <c r="H1224" t="s">
        <v>18</v>
      </c>
    </row>
    <row r="1225" spans="7:8">
      <c r="G1225" s="108" t="s">
        <v>1291</v>
      </c>
      <c r="H1225" t="s">
        <v>18</v>
      </c>
    </row>
    <row r="1226" spans="7:8">
      <c r="G1226" s="108" t="s">
        <v>1292</v>
      </c>
      <c r="H1226" t="s">
        <v>18</v>
      </c>
    </row>
    <row r="1227" spans="7:8">
      <c r="G1227" s="108" t="s">
        <v>1293</v>
      </c>
      <c r="H1227" t="s">
        <v>18</v>
      </c>
    </row>
    <row r="1228" spans="7:8">
      <c r="G1228" s="108" t="s">
        <v>1289</v>
      </c>
      <c r="H1228" t="s">
        <v>18</v>
      </c>
    </row>
    <row r="1229" spans="7:8">
      <c r="G1229" s="108" t="s">
        <v>1294</v>
      </c>
      <c r="H1229" t="s">
        <v>18</v>
      </c>
    </row>
    <row r="1230" spans="7:8">
      <c r="G1230" s="108" t="s">
        <v>1295</v>
      </c>
      <c r="H1230" t="s">
        <v>18</v>
      </c>
    </row>
    <row r="1231" spans="7:8">
      <c r="G1231" s="108" t="s">
        <v>1296</v>
      </c>
      <c r="H1231" t="s">
        <v>18</v>
      </c>
    </row>
    <row r="1232" spans="7:8">
      <c r="G1232" s="108" t="s">
        <v>1292</v>
      </c>
      <c r="H1232" t="s">
        <v>18</v>
      </c>
    </row>
    <row r="1233" spans="7:8">
      <c r="G1233" s="108" t="s">
        <v>1297</v>
      </c>
      <c r="H1233" t="s">
        <v>18</v>
      </c>
    </row>
    <row r="1234" spans="7:8">
      <c r="G1234" s="108" t="s">
        <v>1298</v>
      </c>
      <c r="H1234" t="s">
        <v>18</v>
      </c>
    </row>
    <row r="1235" spans="7:8">
      <c r="G1235" s="108" t="s">
        <v>1295</v>
      </c>
      <c r="H1235" t="s">
        <v>18</v>
      </c>
    </row>
    <row r="1236" spans="7:8">
      <c r="G1236" s="108" t="s">
        <v>1295</v>
      </c>
      <c r="H1236" t="s">
        <v>18</v>
      </c>
    </row>
    <row r="1237" spans="7:8">
      <c r="G1237" s="108" t="s">
        <v>1300</v>
      </c>
      <c r="H1237" t="s">
        <v>18</v>
      </c>
    </row>
    <row r="1238" spans="7:8">
      <c r="G1238" s="108" t="s">
        <v>1292</v>
      </c>
      <c r="H1238" t="s">
        <v>18</v>
      </c>
    </row>
    <row r="1239" spans="7:8">
      <c r="G1239" s="108" t="s">
        <v>1301</v>
      </c>
      <c r="H1239" t="s">
        <v>18</v>
      </c>
    </row>
    <row r="1240" spans="7:8">
      <c r="G1240" s="108" t="s">
        <v>1302</v>
      </c>
      <c r="H1240" t="s">
        <v>18</v>
      </c>
    </row>
    <row r="1241" spans="7:8">
      <c r="G1241" s="108" t="s">
        <v>1302</v>
      </c>
      <c r="H1241" t="s">
        <v>18</v>
      </c>
    </row>
    <row r="1242" spans="7:8">
      <c r="G1242" s="108" t="s">
        <v>1303</v>
      </c>
      <c r="H1242" t="s">
        <v>18</v>
      </c>
    </row>
    <row r="1243" spans="7:8">
      <c r="G1243" s="108" t="s">
        <v>1304</v>
      </c>
      <c r="H1243" t="s">
        <v>18</v>
      </c>
    </row>
    <row r="1244" spans="7:8">
      <c r="G1244" s="108" t="s">
        <v>1305</v>
      </c>
      <c r="H1244" t="s">
        <v>18</v>
      </c>
    </row>
    <row r="1245" spans="7:8">
      <c r="G1245" s="108" t="s">
        <v>1306</v>
      </c>
      <c r="H1245" t="s">
        <v>18</v>
      </c>
    </row>
    <row r="1246" spans="7:8">
      <c r="G1246" s="108" t="s">
        <v>1292</v>
      </c>
      <c r="H1246" t="s">
        <v>18</v>
      </c>
    </row>
    <row r="1247" spans="7:8">
      <c r="G1247" s="108" t="s">
        <v>1307</v>
      </c>
      <c r="H1247" t="s">
        <v>18</v>
      </c>
    </row>
    <row r="1248" spans="7:8">
      <c r="G1248" s="108" t="s">
        <v>1295</v>
      </c>
      <c r="H1248" t="s">
        <v>18</v>
      </c>
    </row>
    <row r="1249" spans="7:8">
      <c r="G1249" s="108" t="s">
        <v>1308</v>
      </c>
      <c r="H1249" t="s">
        <v>18</v>
      </c>
    </row>
    <row r="1250" spans="7:8">
      <c r="G1250" s="108" t="s">
        <v>1295</v>
      </c>
      <c r="H1250" t="s">
        <v>18</v>
      </c>
    </row>
    <row r="1251" spans="7:8">
      <c r="G1251" s="108" t="s">
        <v>1309</v>
      </c>
      <c r="H1251" t="s">
        <v>18</v>
      </c>
    </row>
    <row r="1252" spans="7:8">
      <c r="G1252" s="108" t="s">
        <v>1292</v>
      </c>
      <c r="H1252" t="s">
        <v>18</v>
      </c>
    </row>
    <row r="1253" spans="7:8">
      <c r="G1253" s="108" t="s">
        <v>1310</v>
      </c>
      <c r="H1253" t="s">
        <v>18</v>
      </c>
    </row>
    <row r="1254" spans="7:8">
      <c r="G1254" s="108" t="s">
        <v>1307</v>
      </c>
      <c r="H1254" t="s">
        <v>18</v>
      </c>
    </row>
    <row r="1255" spans="7:8">
      <c r="G1255" s="108" t="s">
        <v>1295</v>
      </c>
      <c r="H1255" t="s">
        <v>18</v>
      </c>
    </row>
    <row r="1256" spans="7:8">
      <c r="G1256" s="108" t="s">
        <v>1295</v>
      </c>
      <c r="H1256" t="s">
        <v>18</v>
      </c>
    </row>
    <row r="1257" spans="7:8">
      <c r="G1257" s="108" t="s">
        <v>1311</v>
      </c>
      <c r="H1257" t="s">
        <v>18</v>
      </c>
    </row>
    <row r="1258" spans="7:8">
      <c r="G1258" s="108" t="s">
        <v>1312</v>
      </c>
      <c r="H1258" t="s">
        <v>18</v>
      </c>
    </row>
    <row r="1259" spans="7:8">
      <c r="G1259" s="108" t="s">
        <v>1270</v>
      </c>
      <c r="H1259" t="s">
        <v>20</v>
      </c>
    </row>
    <row r="1260" spans="7:8">
      <c r="G1260" s="121" t="s">
        <v>1314</v>
      </c>
      <c r="H1260" t="s">
        <v>23</v>
      </c>
    </row>
    <row r="1261" spans="7:8">
      <c r="G1261" s="121" t="s">
        <v>1315</v>
      </c>
      <c r="H1261" t="s">
        <v>32</v>
      </c>
    </row>
    <row r="1262" spans="7:8">
      <c r="G1262" s="121" t="s">
        <v>1316</v>
      </c>
      <c r="H1262" t="s">
        <v>28</v>
      </c>
    </row>
    <row r="1263" spans="7:8">
      <c r="G1263" s="121" t="s">
        <v>1317</v>
      </c>
      <c r="H1263" t="s">
        <v>18</v>
      </c>
    </row>
    <row r="1264" spans="7:8">
      <c r="G1264" s="108" t="s">
        <v>1318</v>
      </c>
      <c r="H1264" t="s">
        <v>22</v>
      </c>
    </row>
    <row r="1265" spans="7:8">
      <c r="G1265" s="61" t="s">
        <v>1319</v>
      </c>
      <c r="H1265" t="s">
        <v>21</v>
      </c>
    </row>
    <row r="1266" spans="7:8">
      <c r="G1266" s="61" t="s">
        <v>1320</v>
      </c>
      <c r="H1266" t="s">
        <v>28</v>
      </c>
    </row>
    <row r="1267" spans="7:8">
      <c r="G1267" s="61" t="s">
        <v>1321</v>
      </c>
      <c r="H1267" t="s">
        <v>28</v>
      </c>
    </row>
    <row r="1268" spans="7:8">
      <c r="G1268" s="61" t="s">
        <v>1322</v>
      </c>
      <c r="H1268" t="s">
        <v>39</v>
      </c>
    </row>
    <row r="1269" spans="7:8">
      <c r="G1269" s="61" t="s">
        <v>1323</v>
      </c>
      <c r="H1269" t="s">
        <v>19</v>
      </c>
    </row>
    <row r="1270" spans="7:8">
      <c r="G1270" s="61" t="s">
        <v>1324</v>
      </c>
      <c r="H1270" t="s">
        <v>25</v>
      </c>
    </row>
    <row r="1271" spans="7:8">
      <c r="G1271" s="61" t="s">
        <v>1325</v>
      </c>
      <c r="H1271" t="s">
        <v>18</v>
      </c>
    </row>
    <row r="1272" spans="7:8">
      <c r="G1272" s="61" t="s">
        <v>1326</v>
      </c>
      <c r="H1272" t="s">
        <v>23</v>
      </c>
    </row>
    <row r="1273" spans="7:8">
      <c r="G1273" s="61" t="s">
        <v>1327</v>
      </c>
      <c r="H1273" t="s">
        <v>26</v>
      </c>
    </row>
    <row r="1274" spans="7:8">
      <c r="G1274" s="61" t="s">
        <v>1328</v>
      </c>
      <c r="H1274" t="s">
        <v>24</v>
      </c>
    </row>
    <row r="1275" spans="7:8">
      <c r="G1275" s="61" t="s">
        <v>1329</v>
      </c>
      <c r="H1275" t="s">
        <v>28</v>
      </c>
    </row>
    <row r="1276" spans="7:8">
      <c r="G1276" s="61" t="s">
        <v>1330</v>
      </c>
      <c r="H1276" t="s">
        <v>19</v>
      </c>
    </row>
    <row r="1277" spans="7:8">
      <c r="G1277" t="s">
        <v>1331</v>
      </c>
      <c r="H1277" t="s">
        <v>18</v>
      </c>
    </row>
    <row r="1278" spans="7:8">
      <c r="G1278" t="s">
        <v>1332</v>
      </c>
      <c r="H1278" t="s">
        <v>18</v>
      </c>
    </row>
    <row r="1279" spans="7:8">
      <c r="G1279" t="s">
        <v>1333</v>
      </c>
      <c r="H1279" t="s">
        <v>18</v>
      </c>
    </row>
    <row r="1280" spans="7:8">
      <c r="G1280" t="s">
        <v>1334</v>
      </c>
      <c r="H1280" t="s">
        <v>18</v>
      </c>
    </row>
    <row r="1281" spans="7:8">
      <c r="G1281" t="s">
        <v>1335</v>
      </c>
      <c r="H1281" t="s">
        <v>18</v>
      </c>
    </row>
    <row r="1282" spans="7:8">
      <c r="G1282" t="s">
        <v>1336</v>
      </c>
      <c r="H1282" t="s">
        <v>18</v>
      </c>
    </row>
    <row r="1283" spans="7:8">
      <c r="G1283" t="s">
        <v>1337</v>
      </c>
      <c r="H1283" t="s">
        <v>18</v>
      </c>
    </row>
    <row r="1284" spans="7:8">
      <c r="G1284" t="s">
        <v>1338</v>
      </c>
      <c r="H1284" t="s">
        <v>18</v>
      </c>
    </row>
    <row r="1285" spans="7:8">
      <c r="G1285" t="s">
        <v>1339</v>
      </c>
      <c r="H1285" t="s">
        <v>18</v>
      </c>
    </row>
    <row r="1286" spans="7:8">
      <c r="G1286" t="s">
        <v>1340</v>
      </c>
      <c r="H1286" t="s">
        <v>18</v>
      </c>
    </row>
    <row r="1287" spans="7:8">
      <c r="G1287" t="s">
        <v>1341</v>
      </c>
      <c r="H1287" t="s">
        <v>18</v>
      </c>
    </row>
    <row r="1288" spans="7:8">
      <c r="G1288" t="s">
        <v>1341</v>
      </c>
      <c r="H1288" t="s">
        <v>18</v>
      </c>
    </row>
    <row r="1289" spans="7:8">
      <c r="G1289" t="s">
        <v>1341</v>
      </c>
      <c r="H1289" t="s">
        <v>18</v>
      </c>
    </row>
    <row r="1290" spans="7:8">
      <c r="G1290" t="s">
        <v>1342</v>
      </c>
      <c r="H1290" t="s">
        <v>18</v>
      </c>
    </row>
    <row r="1291" spans="7:8">
      <c r="G1291" t="s">
        <v>1343</v>
      </c>
      <c r="H1291" t="s">
        <v>18</v>
      </c>
    </row>
    <row r="1292" spans="7:8">
      <c r="G1292" t="s">
        <v>1344</v>
      </c>
      <c r="H1292" t="s">
        <v>18</v>
      </c>
    </row>
    <row r="1293" spans="7:8">
      <c r="G1293" t="s">
        <v>1343</v>
      </c>
      <c r="H1293" t="s">
        <v>18</v>
      </c>
    </row>
    <row r="1294" spans="7:8">
      <c r="G1294" t="s">
        <v>1345</v>
      </c>
      <c r="H1294" t="s">
        <v>18</v>
      </c>
    </row>
    <row r="1295" spans="7:8">
      <c r="G1295" s="108" t="s">
        <v>1348</v>
      </c>
      <c r="H1295" t="s">
        <v>22</v>
      </c>
    </row>
    <row r="1296" spans="7:8">
      <c r="G1296" s="108" t="s">
        <v>1349</v>
      </c>
      <c r="H1296" t="s">
        <v>28</v>
      </c>
    </row>
    <row r="1297" spans="7:8">
      <c r="G1297" s="108" t="s">
        <v>1350</v>
      </c>
      <c r="H1297" t="s">
        <v>28</v>
      </c>
    </row>
    <row r="1298" spans="7:8">
      <c r="G1298" s="108" t="s">
        <v>1351</v>
      </c>
      <c r="H1298" t="s">
        <v>23</v>
      </c>
    </row>
    <row r="1299" spans="7:8">
      <c r="G1299" s="108" t="s">
        <v>1352</v>
      </c>
      <c r="H1299" t="s">
        <v>18</v>
      </c>
    </row>
    <row r="1300" spans="7:8">
      <c r="G1300" s="108" t="s">
        <v>1353</v>
      </c>
      <c r="H1300" t="s">
        <v>18</v>
      </c>
    </row>
    <row r="1301" spans="7:8">
      <c r="G1301" s="108" t="s">
        <v>1354</v>
      </c>
      <c r="H1301" t="s">
        <v>18</v>
      </c>
    </row>
    <row r="1302" spans="7:8">
      <c r="G1302" s="108" t="s">
        <v>1352</v>
      </c>
      <c r="H1302" t="s">
        <v>18</v>
      </c>
    </row>
    <row r="1303" spans="7:8">
      <c r="G1303" s="105" t="s">
        <v>1356</v>
      </c>
      <c r="H1303" t="s">
        <v>20</v>
      </c>
    </row>
    <row r="1304" spans="7:8">
      <c r="G1304" s="105" t="s">
        <v>1357</v>
      </c>
      <c r="H1304" t="s">
        <v>19</v>
      </c>
    </row>
    <row r="1305" spans="7:8">
      <c r="G1305" s="105" t="s">
        <v>1358</v>
      </c>
      <c r="H1305" t="s">
        <v>24</v>
      </c>
    </row>
    <row r="1306" spans="7:8">
      <c r="G1306" s="105" t="s">
        <v>1359</v>
      </c>
      <c r="H1306" t="s">
        <v>19</v>
      </c>
    </row>
    <row r="1307" spans="7:8">
      <c r="G1307" s="105" t="s">
        <v>1360</v>
      </c>
      <c r="H1307" t="s">
        <v>24</v>
      </c>
    </row>
    <row r="1308" spans="7:8">
      <c r="G1308" s="105" t="s">
        <v>1361</v>
      </c>
      <c r="H1308" t="s">
        <v>24</v>
      </c>
    </row>
    <row r="1309" spans="7:8">
      <c r="G1309" s="105" t="s">
        <v>1362</v>
      </c>
      <c r="H1309" t="s">
        <v>19</v>
      </c>
    </row>
    <row r="1310" spans="7:8">
      <c r="G1310" s="105" t="s">
        <v>1363</v>
      </c>
      <c r="H1310" t="s">
        <v>22</v>
      </c>
    </row>
    <row r="1311" spans="7:8">
      <c r="G1311" s="135" t="s">
        <v>1381</v>
      </c>
      <c r="H1311" t="s">
        <v>34</v>
      </c>
    </row>
    <row r="1312" spans="7:8">
      <c r="G1312" s="135" t="s">
        <v>1404</v>
      </c>
      <c r="H1312" t="s">
        <v>28</v>
      </c>
    </row>
    <row r="1313" spans="7:8">
      <c r="G1313" s="105" t="s">
        <v>1422</v>
      </c>
      <c r="H1313" t="s">
        <v>19</v>
      </c>
    </row>
    <row r="1314" spans="7:8">
      <c r="G1314" s="105" t="s">
        <v>1423</v>
      </c>
      <c r="H1314" t="s">
        <v>26</v>
      </c>
    </row>
    <row r="1315" spans="7:8">
      <c r="G1315" s="61" t="s">
        <v>1430</v>
      </c>
      <c r="H1315" t="s">
        <v>19</v>
      </c>
    </row>
    <row r="1316" spans="7:8">
      <c r="G1316" s="61" t="s">
        <v>1436</v>
      </c>
      <c r="H1316" t="s">
        <v>22</v>
      </c>
    </row>
    <row r="1317" spans="7:8">
      <c r="G1317" s="61" t="s">
        <v>1437</v>
      </c>
      <c r="H1317" t="s">
        <v>32</v>
      </c>
    </row>
    <row r="1318" spans="7:8">
      <c r="G1318" s="61" t="s">
        <v>1442</v>
      </c>
      <c r="H1318" t="s">
        <v>18</v>
      </c>
    </row>
    <row r="1319" spans="7:8">
      <c r="G1319" s="61" t="s">
        <v>1443</v>
      </c>
      <c r="H1319" t="s">
        <v>18</v>
      </c>
    </row>
    <row r="1320" spans="7:8">
      <c r="G1320" s="61" t="s">
        <v>1446</v>
      </c>
      <c r="H1320" t="s">
        <v>19</v>
      </c>
    </row>
    <row r="1321" spans="7:8">
      <c r="G1321" s="61" t="s">
        <v>1448</v>
      </c>
      <c r="H1321" t="s">
        <v>22</v>
      </c>
    </row>
    <row r="1322" spans="7:8">
      <c r="G1322" s="61" t="s">
        <v>1450</v>
      </c>
      <c r="H1322" t="s">
        <v>22</v>
      </c>
    </row>
    <row r="1323" spans="7:8">
      <c r="G1323" s="61" t="s">
        <v>1465</v>
      </c>
      <c r="H1323" t="s">
        <v>26</v>
      </c>
    </row>
    <row r="1324" spans="7:8">
      <c r="G1324" s="61" t="s">
        <v>1473</v>
      </c>
      <c r="H1324" t="s">
        <v>19</v>
      </c>
    </row>
    <row r="1325" spans="7:8">
      <c r="G1325" s="61" t="s">
        <v>1474</v>
      </c>
      <c r="H1325" t="s">
        <v>28</v>
      </c>
    </row>
    <row r="1326" spans="7:8">
      <c r="G1326" s="138" t="s">
        <v>1486</v>
      </c>
      <c r="H1326" t="s">
        <v>18</v>
      </c>
    </row>
    <row r="1327" spans="7:8">
      <c r="G1327" s="138" t="s">
        <v>1490</v>
      </c>
      <c r="H1327" t="s">
        <v>18</v>
      </c>
    </row>
    <row r="1328" spans="7:8">
      <c r="G1328" s="138" t="s">
        <v>1494</v>
      </c>
      <c r="H1328" t="s">
        <v>18</v>
      </c>
    </row>
    <row r="1329" spans="7:8">
      <c r="G1329" s="138" t="s">
        <v>1498</v>
      </c>
      <c r="H1329" t="s">
        <v>24</v>
      </c>
    </row>
    <row r="1330" spans="7:8">
      <c r="G1330" s="138" t="s">
        <v>1498</v>
      </c>
      <c r="H1330" t="s">
        <v>24</v>
      </c>
    </row>
    <row r="1331" spans="7:8">
      <c r="G1331" s="138" t="s">
        <v>1501</v>
      </c>
      <c r="H1331" t="s">
        <v>18</v>
      </c>
    </row>
    <row r="1332" spans="7:8">
      <c r="G1332" s="138" t="s">
        <v>1501</v>
      </c>
      <c r="H1332" t="s">
        <v>18</v>
      </c>
    </row>
    <row r="1333" spans="7:8">
      <c r="G1333" s="138" t="s">
        <v>1504</v>
      </c>
      <c r="H1333" t="s">
        <v>22</v>
      </c>
    </row>
    <row r="1334" spans="7:8">
      <c r="G1334" s="138" t="s">
        <v>1506</v>
      </c>
      <c r="H1334" t="s">
        <v>32</v>
      </c>
    </row>
    <row r="1335" spans="7:8">
      <c r="G1335" s="138" t="s">
        <v>1507</v>
      </c>
      <c r="H1335" t="s">
        <v>32</v>
      </c>
    </row>
    <row r="1336" spans="7:8">
      <c r="G1336" s="138" t="s">
        <v>1512</v>
      </c>
      <c r="H1336" t="s">
        <v>22</v>
      </c>
    </row>
    <row r="1337" spans="7:8">
      <c r="G1337" s="138" t="s">
        <v>1516</v>
      </c>
      <c r="H1337" t="s">
        <v>21</v>
      </c>
    </row>
    <row r="1338" spans="7:8">
      <c r="G1338" s="138" t="s">
        <v>1517</v>
      </c>
      <c r="H1338" t="s">
        <v>28</v>
      </c>
    </row>
    <row r="1339" spans="7:8">
      <c r="G1339" s="138" t="s">
        <v>1518</v>
      </c>
      <c r="H1339" t="s">
        <v>5</v>
      </c>
    </row>
    <row r="1340" spans="7:8">
      <c r="G1340" s="138" t="s">
        <v>1523</v>
      </c>
      <c r="H1340" t="s">
        <v>22</v>
      </c>
    </row>
    <row r="1341" spans="7:8">
      <c r="G1341" s="105" t="s">
        <v>1524</v>
      </c>
      <c r="H1341" t="s">
        <v>39</v>
      </c>
    </row>
    <row r="1342" spans="7:8">
      <c r="G1342" s="138" t="s">
        <v>1525</v>
      </c>
      <c r="H1342" t="s">
        <v>22</v>
      </c>
    </row>
    <row r="1343" spans="7:8">
      <c r="G1343" s="138" t="s">
        <v>1526</v>
      </c>
      <c r="H1343" t="s">
        <v>25</v>
      </c>
    </row>
    <row r="1344" spans="7:8">
      <c r="G1344" s="138" t="s">
        <v>1527</v>
      </c>
      <c r="H1344" t="s">
        <v>39</v>
      </c>
    </row>
    <row r="1345" spans="7:8">
      <c r="G1345" s="138" t="s">
        <v>1531</v>
      </c>
      <c r="H1345" t="s">
        <v>18</v>
      </c>
    </row>
    <row r="1346" spans="7:8">
      <c r="G1346" s="138" t="s">
        <v>1531</v>
      </c>
      <c r="H1346" t="s">
        <v>18</v>
      </c>
    </row>
    <row r="1347" spans="7:8">
      <c r="G1347" s="138" t="s">
        <v>1532</v>
      </c>
      <c r="H1347" t="s">
        <v>18</v>
      </c>
    </row>
    <row r="1348" spans="7:8">
      <c r="G1348" s="138" t="s">
        <v>1533</v>
      </c>
      <c r="H1348" t="s">
        <v>18</v>
      </c>
    </row>
    <row r="1349" spans="7:8">
      <c r="G1349" s="138" t="s">
        <v>1534</v>
      </c>
      <c r="H1349" t="s">
        <v>18</v>
      </c>
    </row>
    <row r="1350" spans="7:8">
      <c r="G1350" s="138" t="s">
        <v>1535</v>
      </c>
      <c r="H1350" t="s">
        <v>18</v>
      </c>
    </row>
    <row r="1351" spans="7:8">
      <c r="G1351" s="138" t="s">
        <v>1535</v>
      </c>
      <c r="H1351" t="s">
        <v>18</v>
      </c>
    </row>
    <row r="1352" spans="7:8">
      <c r="G1352" s="138" t="s">
        <v>1536</v>
      </c>
      <c r="H1352" t="s">
        <v>18</v>
      </c>
    </row>
    <row r="1353" spans="7:8">
      <c r="G1353" s="138" t="s">
        <v>1537</v>
      </c>
      <c r="H1353" t="s">
        <v>18</v>
      </c>
    </row>
    <row r="1354" spans="7:8">
      <c r="G1354" s="138" t="s">
        <v>1537</v>
      </c>
      <c r="H1354" t="s">
        <v>18</v>
      </c>
    </row>
    <row r="1355" spans="7:8">
      <c r="G1355" s="138" t="s">
        <v>1538</v>
      </c>
      <c r="H1355" t="s">
        <v>18</v>
      </c>
    </row>
    <row r="1356" spans="7:8">
      <c r="G1356" s="105" t="s">
        <v>1542</v>
      </c>
      <c r="H1356" t="s">
        <v>22</v>
      </c>
    </row>
    <row r="1357" spans="7:8">
      <c r="G1357" s="105" t="s">
        <v>1545</v>
      </c>
      <c r="H1357" t="s">
        <v>28</v>
      </c>
    </row>
    <row r="1358" spans="7:8">
      <c r="G1358" s="105" t="s">
        <v>1550</v>
      </c>
      <c r="H1358" t="s">
        <v>32</v>
      </c>
    </row>
    <row r="1359" spans="7:8">
      <c r="G1359" s="105" t="s">
        <v>1567</v>
      </c>
      <c r="H1359" t="s">
        <v>32</v>
      </c>
    </row>
    <row r="1360" spans="7:8">
      <c r="G1360" s="135" t="s">
        <v>1584</v>
      </c>
      <c r="H1360" t="s">
        <v>39</v>
      </c>
    </row>
    <row r="1361" spans="7:8">
      <c r="G1361" s="135" t="s">
        <v>1597</v>
      </c>
      <c r="H1361" t="s">
        <v>28</v>
      </c>
    </row>
    <row r="1362" spans="7:8">
      <c r="G1362" s="135" t="s">
        <v>1599</v>
      </c>
      <c r="H1362" t="s">
        <v>24</v>
      </c>
    </row>
    <row r="1363" spans="7:8">
      <c r="G1363" s="135" t="s">
        <v>1600</v>
      </c>
      <c r="H1363" t="s">
        <v>19</v>
      </c>
    </row>
    <row r="1364" spans="7:8">
      <c r="G1364" s="135" t="s">
        <v>1602</v>
      </c>
      <c r="H1364" t="s">
        <v>19</v>
      </c>
    </row>
    <row r="1365" spans="7:8">
      <c r="G1365" s="135" t="s">
        <v>1608</v>
      </c>
      <c r="H1365" t="s">
        <v>24</v>
      </c>
    </row>
    <row r="1366" spans="7:8">
      <c r="G1366" s="135" t="s">
        <v>1609</v>
      </c>
      <c r="H1366" t="s">
        <v>19</v>
      </c>
    </row>
    <row r="1367" spans="7:8">
      <c r="G1367" s="135" t="s">
        <v>1614</v>
      </c>
      <c r="H1367" t="s">
        <v>26</v>
      </c>
    </row>
    <row r="1368" spans="7:8">
      <c r="G1368" s="138" t="s">
        <v>1615</v>
      </c>
      <c r="H1368" t="s">
        <v>25</v>
      </c>
    </row>
    <row r="1369" spans="7:8">
      <c r="G1369" s="138" t="s">
        <v>1616</v>
      </c>
      <c r="H1369" t="s">
        <v>19</v>
      </c>
    </row>
    <row r="1370" spans="7:8">
      <c r="G1370" s="138" t="s">
        <v>1617</v>
      </c>
      <c r="H1370" t="s">
        <v>25</v>
      </c>
    </row>
    <row r="1371" spans="7:8">
      <c r="G1371" s="105" t="s">
        <v>1618</v>
      </c>
      <c r="H1371" t="s">
        <v>18</v>
      </c>
    </row>
    <row r="1372" spans="7:8">
      <c r="G1372" s="113" t="s">
        <v>1619</v>
      </c>
      <c r="H1372" t="s">
        <v>32</v>
      </c>
    </row>
    <row r="1373" spans="7:8">
      <c r="G1373" s="135" t="s">
        <v>1620</v>
      </c>
      <c r="H1373" t="s">
        <v>22</v>
      </c>
    </row>
    <row r="1374" spans="7:8">
      <c r="G1374" s="135" t="s">
        <v>1621</v>
      </c>
      <c r="H1374" t="s">
        <v>24</v>
      </c>
    </row>
    <row r="1375" spans="7:8">
      <c r="G1375" s="135" t="s">
        <v>1620</v>
      </c>
      <c r="H1375" t="s">
        <v>22</v>
      </c>
    </row>
    <row r="1376" spans="7:8">
      <c r="G1376" s="135" t="s">
        <v>1622</v>
      </c>
      <c r="H1376" t="s">
        <v>24</v>
      </c>
    </row>
    <row r="1377" spans="7:8">
      <c r="G1377" s="135" t="s">
        <v>1623</v>
      </c>
      <c r="H1377" t="s">
        <v>25</v>
      </c>
    </row>
    <row r="1378" spans="7:8">
      <c r="G1378" s="135" t="s">
        <v>1624</v>
      </c>
      <c r="H1378" t="s">
        <v>28</v>
      </c>
    </row>
    <row r="1379" spans="7:8">
      <c r="G1379" s="135" t="s">
        <v>1625</v>
      </c>
      <c r="H1379" t="s">
        <v>26</v>
      </c>
    </row>
    <row r="1380" spans="7:8">
      <c r="G1380" s="135" t="s">
        <v>1626</v>
      </c>
      <c r="H1380" t="s">
        <v>18</v>
      </c>
    </row>
    <row r="1381" spans="7:8">
      <c r="G1381" s="135" t="s">
        <v>1627</v>
      </c>
      <c r="H1381" t="s">
        <v>18</v>
      </c>
    </row>
    <row r="1382" spans="7:8">
      <c r="G1382" s="135" t="s">
        <v>1628</v>
      </c>
      <c r="H1382" t="s">
        <v>27</v>
      </c>
    </row>
    <row r="1383" spans="7:8">
      <c r="G1383" s="135" t="s">
        <v>1629</v>
      </c>
      <c r="H1383" t="s">
        <v>790</v>
      </c>
    </row>
    <row r="1384" spans="7:8">
      <c r="G1384" t="s">
        <v>1630</v>
      </c>
      <c r="H1384" t="s">
        <v>27</v>
      </c>
    </row>
    <row r="1385" spans="7:8">
      <c r="G1385" t="s">
        <v>1632</v>
      </c>
      <c r="H1385" t="s">
        <v>18</v>
      </c>
    </row>
    <row r="1386" spans="7:8">
      <c r="G1386" t="s">
        <v>1633</v>
      </c>
      <c r="H1386" t="s">
        <v>23</v>
      </c>
    </row>
    <row r="1387" spans="7:8">
      <c r="G1387" t="s">
        <v>1634</v>
      </c>
      <c r="H1387" t="s">
        <v>26</v>
      </c>
    </row>
    <row r="1388" spans="7:8">
      <c r="G1388" t="s">
        <v>1635</v>
      </c>
      <c r="H1388" t="s">
        <v>22</v>
      </c>
    </row>
    <row r="1389" spans="7:8">
      <c r="G1389" t="s">
        <v>1636</v>
      </c>
      <c r="H1389" t="s">
        <v>25</v>
      </c>
    </row>
    <row r="1390" spans="7:8">
      <c r="G1390"/>
    </row>
  </sheetData>
  <dataValidations count="1">
    <dataValidation type="list" allowBlank="1" showInputMessage="1" showErrorMessage="1" sqref="H3:H66 H73 H77:H81 H85:H295 H300 H313:H341 H343:H405 H407:H409 H415 H412 H429:H1415" xr:uid="{00000000-0002-0000-1000-000000000000}">
      <formula1>סוגי_הוצאות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17</vt:i4>
      </vt:variant>
      <vt:variant>
        <vt:lpstr>טווחים בעלי שם</vt:lpstr>
      </vt:variant>
      <vt:variant>
        <vt:i4>4</vt:i4>
      </vt:variant>
    </vt:vector>
  </HeadingPairs>
  <TitlesOfParts>
    <vt:vector size="21" baseType="lpstr">
      <vt:lpstr>סיכום</vt:lpstr>
      <vt:lpstr>הכנסות</vt:lpstr>
      <vt:lpstr>הוצאות</vt:lpstr>
      <vt:lpstr>הוצאות ידני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טבלאות</vt:lpstr>
      <vt:lpstr>חודש</vt:lpstr>
      <vt:lpstr>סוג_כרטיס</vt:lpstr>
      <vt:lpstr>סוגי_הוצאות</vt:lpstr>
      <vt:lpstr>סוגי_הכנסות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usf25382</dc:creator>
  <cp:lastModifiedBy>Michael Liarzi</cp:lastModifiedBy>
  <dcterms:created xsi:type="dcterms:W3CDTF">2012-09-14T18:40:41Z</dcterms:created>
  <dcterms:modified xsi:type="dcterms:W3CDTF">2026-07-12T18:14:35Z</dcterms:modified>
</cp:coreProperties>
</file>