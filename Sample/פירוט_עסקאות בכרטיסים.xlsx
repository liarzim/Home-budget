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בית\תקציב שנתי\"/>
    </mc:Choice>
  </mc:AlternateContent>
  <xr:revisionPtr revIDLastSave="0" documentId="13_ncr:1_{B23648E3-0EAB-4B4D-BBA7-23714ACB635C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_פירוט_עסקאות בכ" sheetId="1" r:id="rId1"/>
    <sheet name="טבלאות" sheetId="2" r:id="rId2"/>
  </sheets>
  <externalReferences>
    <externalReference r:id="rId3"/>
  </externalReferences>
  <definedNames>
    <definedName name="_xlnm._FilterDatabase" localSheetId="0" hidden="1">'_פירוט_עסקאות בכ'!$A$1:$K$11</definedName>
    <definedName name="סוג_כרטיס">טבלאות!$B$2:$B$6</definedName>
    <definedName name="סוגי_הוצאות">[1]טבלאות!$A$2:$A$23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" i="1" l="1"/>
  <c r="K24" i="1"/>
  <c r="K25" i="1"/>
  <c r="K26" i="1"/>
  <c r="K27" i="1"/>
  <c r="K28" i="1"/>
  <c r="K29" i="1"/>
  <c r="K30" i="1"/>
  <c r="K31" i="1"/>
  <c r="K34" i="1"/>
  <c r="K35" i="1"/>
  <c r="K12" i="1"/>
  <c r="K13" i="1"/>
  <c r="K14" i="1"/>
  <c r="K15" i="1"/>
  <c r="K16" i="1"/>
  <c r="K17" i="1"/>
  <c r="K18" i="1"/>
  <c r="K19" i="1"/>
  <c r="K20" i="1"/>
  <c r="K21" i="1"/>
  <c r="K22" i="1"/>
  <c r="K23" i="1"/>
  <c r="K5" i="1"/>
  <c r="K6" i="1"/>
  <c r="K8" i="1"/>
  <c r="K9" i="1"/>
  <c r="K10" i="1"/>
  <c r="K11" i="1"/>
  <c r="K2" i="1"/>
  <c r="K3" i="1"/>
  <c r="K4" i="1" l="1"/>
</calcChain>
</file>

<file path=xl/sharedStrings.xml><?xml version="1.0" encoding="utf-8"?>
<sst xmlns="http://schemas.openxmlformats.org/spreadsheetml/2006/main" count="250" uniqueCount="84">
  <si>
    <t>כרטיס</t>
  </si>
  <si>
    <t>תאריך עסקה</t>
  </si>
  <si>
    <t>בית עסק</t>
  </si>
  <si>
    <t>פירוט</t>
  </si>
  <si>
    <t>סכום העסקה</t>
  </si>
  <si>
    <t>סוג העסקה</t>
  </si>
  <si>
    <t>מנפיק</t>
  </si>
  <si>
    <t>תאריך החיוב</t>
  </si>
  <si>
    <t>אורנה 2 0450</t>
  </si>
  <si>
    <t>סוג כרטיס</t>
  </si>
  <si>
    <t>אשראי מיכה</t>
  </si>
  <si>
    <t>אשראי אורנה</t>
  </si>
  <si>
    <t>שופרסל</t>
  </si>
  <si>
    <t>בהצדעה</t>
  </si>
  <si>
    <t>מקור</t>
  </si>
  <si>
    <t>ויזה פלטינום</t>
  </si>
  <si>
    <t>מקס איט פי</t>
  </si>
  <si>
    <t>סכום החיוב</t>
  </si>
  <si>
    <t>כרטיס הוצג במעמד העסקה?</t>
  </si>
  <si>
    <t>ישראכרט</t>
  </si>
  <si>
    <t>טוב</t>
  </si>
  <si>
    <t>ויזה 3669</t>
  </si>
  <si>
    <t>אורנה 3 3669</t>
  </si>
  <si>
    <t>ויזה 7520</t>
  </si>
  <si>
    <t>בריין בינה בעמ</t>
  </si>
  <si>
    <t>PAYPAL *NETFLIX COM</t>
  </si>
  <si>
    <t>קואופ רחובות</t>
  </si>
  <si>
    <t>גולן טלקום</t>
  </si>
  <si>
    <t>PAYBOX</t>
  </si>
  <si>
    <t>CELLO</t>
  </si>
  <si>
    <t>גליקסמן שיווק ביצים</t>
  </si>
  <si>
    <t>הראל ביטוח חיים</t>
  </si>
  <si>
    <t>שרותי בריאות כללית הו"ק</t>
  </si>
  <si>
    <t>סעוד הראל -כללית</t>
  </si>
  <si>
    <t>בזק הוראות קבע</t>
  </si>
  <si>
    <t>PAYPAL *ZWIFT</t>
  </si>
  <si>
    <t>תשלום ועד בית</t>
  </si>
  <si>
    <t>הסתדרות העובדים הלאומית</t>
  </si>
  <si>
    <t>ויזה 1618</t>
  </si>
  <si>
    <t>הסתדרות - פלטינה מסטרקארד</t>
  </si>
  <si>
    <t>דמי כרטיס</t>
  </si>
  <si>
    <t>ישראכרט אורנה</t>
  </si>
  <si>
    <t>העברה ב BIT בנה"פ</t>
  </si>
  <si>
    <t>HOPON-DAN</t>
  </si>
  <si>
    <t>PAYPAL *AISGECOMMER</t>
  </si>
  <si>
    <t>סנטר 1 שערי ירושלים בעמ</t>
  </si>
  <si>
    <t>אבולעפיה מאפיה</t>
  </si>
  <si>
    <t>אתרים</t>
  </si>
  <si>
    <t>ח.ת אוטומוטורס בע"מ</t>
  </si>
  <si>
    <t>חברת החשמל לישראל בע"מ</t>
  </si>
  <si>
    <t>טיב טעם רשתות רחובות</t>
  </si>
  <si>
    <t>דוכן הפרדסן מקס איט ניכיונות בע"מ</t>
  </si>
  <si>
    <t>מ. יוחננוף ובניו- רחובות מרכז סנטרו</t>
  </si>
  <si>
    <t>מחסני השוק רחובות הנשיא</t>
  </si>
  <si>
    <t>סופר-פארם מרכז הנשיא רחובות</t>
  </si>
  <si>
    <t>דלק מנטה קמעונאות דרכים בע"מ ראשון</t>
  </si>
  <si>
    <t>סטימצקי מרכז הנשיא רחובות</t>
  </si>
  <si>
    <t>זר פור יו (2000) בע"מ</t>
  </si>
  <si>
    <t>אגודת אכסניות נוער בישראל- אינטרנט</t>
  </si>
  <si>
    <t>LOUVRETICKET INT2726905</t>
  </si>
  <si>
    <t>EUROSTAR INTERNATIONAL LI</t>
  </si>
  <si>
    <t>mElements *ENERGYLANDIA</t>
  </si>
  <si>
    <t>ה.קבע איילון ביטוח חיים וב ביטוח</t>
  </si>
  <si>
    <t>לא הוצג מועדון טוב שיווק ישיר</t>
  </si>
  <si>
    <t>הפניקס חיים ובריאות</t>
  </si>
  <si>
    <t>חניון פארק ויצמן רחובות</t>
  </si>
  <si>
    <t>דומינוס פיצה רחובות</t>
  </si>
  <si>
    <t>סופר פארם רחובות ההולנדית</t>
  </si>
  <si>
    <t>טמבורית הנשיא</t>
  </si>
  <si>
    <t>כל בו עופר</t>
  </si>
  <si>
    <t>סיטי מרקט הרצל רחובות</t>
  </si>
  <si>
    <t>אטרקציה מהיבואן לצרכן</t>
  </si>
  <si>
    <t>יוחננוף - אחד העם</t>
  </si>
  <si>
    <t>PAYPAL *2CO.COM</t>
  </si>
  <si>
    <t>הום סנטר נס ציונה</t>
  </si>
  <si>
    <t>רולדין</t>
  </si>
  <si>
    <t>יחפים נס ציונה</t>
  </si>
  <si>
    <t>GV מערכות יוקרה לרכב-צמרת</t>
  </si>
  <si>
    <t>משרד המשפטים אגרות טאבו רישום מקרקעין</t>
  </si>
  <si>
    <t>מחסני חשמל</t>
  </si>
  <si>
    <t>BKG*BOOKING.COM HOTEL</t>
  </si>
  <si>
    <t>יוניברס מודיעין ישפרו סנטר</t>
  </si>
  <si>
    <t>ANTHROPIC* CLAUDE SUB</t>
  </si>
  <si>
    <t>דלק מנטה קמעונאות דרכים שלום נס ציונה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</si>
</sst>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₪&quot;#,##0.00"/>
    <numFmt numFmtId="165" formatCode="_-[$$-409]* #,##0.00_ ;_-[$$-409]* \-#,##0.00\ ;_-[$$-409]* &quot;-&quot;??_ ;_-@_ "/>
    <numFmt numFmtId="166" formatCode="_ [$€-2]\ * #,##0.00_ ;_ [$€-2]\ * \-#,##0.00_ ;_ [$€-2]\ * &quot;-&quot;??_ ;_ @_ "/>
  </numFmts>
  <fonts count="50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b/>
      <sz val="18"/>
      <color theme="3"/>
      <name val="Cambria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0"/>
      <name val="Arial"/>
      <family val="2"/>
    </font>
    <font>
      <sz val="11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sz val="12"/>
      <color theme="1"/>
      <name val="Calibri"/>
      <family val="2"/>
      <scheme val="minor"/>
    </font>
    <font>
      <sz val="10"/>
      <name val="Calibri"/>
      <family val="2"/>
    </font>
    <font>
      <sz val="18"/>
      <color theme="3"/>
      <name val="Cambria"/>
      <family val="2"/>
      <charset val="177"/>
      <scheme val="major"/>
    </font>
    <font>
      <sz val="11"/>
      <color rgb="FF9C5700"/>
      <name val="Calibri"/>
      <family val="2"/>
      <charset val="177"/>
      <scheme val="minor"/>
    </font>
    <font>
      <sz val="11"/>
      <color rgb="FF000000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0"/>
      <name val="Calibri"/>
    </font>
    <font>
      <sz val="8"/>
      <name val="Calibri"/>
      <family val="2"/>
      <charset val="177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2B84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0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0" fillId="0" borderId="0"/>
    <xf numFmtId="0" fontId="1" fillId="0" borderId="0"/>
    <xf numFmtId="0" fontId="21" fillId="0" borderId="0" applyNumberFormat="0" applyFill="0" applyBorder="0" applyAlignment="0" applyProtection="0"/>
    <xf numFmtId="0" fontId="22" fillId="0" borderId="1" applyNumberFormat="0" applyFill="0" applyAlignment="0" applyProtection="0"/>
    <xf numFmtId="0" fontId="23" fillId="0" borderId="2" applyNumberFormat="0" applyFill="0" applyAlignment="0" applyProtection="0"/>
    <xf numFmtId="0" fontId="24" fillId="0" borderId="3" applyNumberFormat="0" applyFill="0" applyAlignment="0" applyProtection="0"/>
    <xf numFmtId="0" fontId="24" fillId="0" borderId="0" applyNumberFormat="0" applyFill="0" applyBorder="0" applyAlignment="0" applyProtection="0"/>
    <xf numFmtId="0" fontId="25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4" applyNumberFormat="0" applyAlignment="0" applyProtection="0"/>
    <xf numFmtId="0" fontId="29" fillId="6" borderId="5" applyNumberFormat="0" applyAlignment="0" applyProtection="0"/>
    <xf numFmtId="0" fontId="30" fillId="6" borderId="4" applyNumberFormat="0" applyAlignment="0" applyProtection="0"/>
    <xf numFmtId="0" fontId="31" fillId="0" borderId="6" applyNumberFormat="0" applyFill="0" applyAlignment="0" applyProtection="0"/>
    <xf numFmtId="0" fontId="32" fillId="7" borderId="7" applyNumberFormat="0" applyAlignment="0" applyProtection="0"/>
    <xf numFmtId="0" fontId="3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34" fillId="0" borderId="0" applyNumberFormat="0" applyFill="0" applyBorder="0" applyAlignment="0" applyProtection="0"/>
    <xf numFmtId="0" fontId="35" fillId="0" borderId="9" applyNumberFormat="0" applyFill="0" applyAlignment="0" applyProtection="0"/>
    <xf numFmtId="0" fontId="3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36" fillId="20" borderId="0" applyNumberFormat="0" applyBorder="0" applyAlignment="0" applyProtection="0"/>
    <xf numFmtId="0" fontId="3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6" fillId="24" borderId="0" applyNumberFormat="0" applyBorder="0" applyAlignment="0" applyProtection="0"/>
    <xf numFmtId="0" fontId="3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6" fillId="28" borderId="0" applyNumberFormat="0" applyBorder="0" applyAlignment="0" applyProtection="0"/>
    <xf numFmtId="0" fontId="3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6" fillId="32" borderId="0" applyNumberFormat="0" applyBorder="0" applyAlignment="0" applyProtection="0"/>
    <xf numFmtId="0" fontId="41" fillId="0" borderId="0"/>
    <xf numFmtId="0" fontId="42" fillId="0" borderId="0"/>
    <xf numFmtId="0" fontId="43" fillId="0" borderId="0" applyNumberFormat="0" applyFill="0" applyBorder="0" applyAlignment="0" applyProtection="0"/>
    <xf numFmtId="0" fontId="44" fillId="4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37" fillId="0" borderId="0"/>
    <xf numFmtId="0" fontId="45" fillId="0" borderId="0" applyBorder="0"/>
    <xf numFmtId="0" fontId="47" fillId="0" borderId="0"/>
    <xf numFmtId="0" fontId="46" fillId="0" borderId="0"/>
  </cellStyleXfs>
  <cellXfs count="17">
    <xf numFmtId="0" fontId="0" fillId="0" borderId="0" xfId="0"/>
    <xf numFmtId="0" fontId="37" fillId="0" borderId="0" xfId="0" applyFont="1" applyAlignment="1">
      <alignment horizontal="right" readingOrder="1"/>
    </xf>
    <xf numFmtId="0" fontId="38" fillId="33" borderId="0" xfId="0" applyFont="1" applyFill="1" applyAlignment="1">
      <alignment horizontal="center" vertical="center" wrapText="1"/>
    </xf>
    <xf numFmtId="0" fontId="39" fillId="34" borderId="0" xfId="0" applyFont="1" applyFill="1" applyAlignment="1">
      <alignment horizontal="right" vertical="center" readingOrder="1"/>
    </xf>
    <xf numFmtId="0" fontId="40" fillId="0" borderId="0" xfId="0" applyFont="1" applyAlignment="1">
      <alignment horizontal="right" readingOrder="1"/>
    </xf>
    <xf numFmtId="0" fontId="37" fillId="0" borderId="0" xfId="0" applyFont="1" applyAlignment="1">
      <alignment horizontal="right" readingOrder="2"/>
    </xf>
    <xf numFmtId="164" fontId="37" fillId="0" borderId="0" xfId="0" applyNumberFormat="1" applyFont="1" applyAlignment="1">
      <alignment horizontal="right" readingOrder="2"/>
    </xf>
    <xf numFmtId="14" fontId="48" fillId="0" borderId="0" xfId="0" applyNumberFormat="1" applyFont="1" applyAlignment="1">
      <alignment horizontal="right" readingOrder="2"/>
    </xf>
    <xf numFmtId="0" fontId="0" fillId="0" borderId="0" xfId="0" applyAlignment="1">
      <alignment horizontal="right" readingOrder="2"/>
    </xf>
    <xf numFmtId="164" fontId="48" fillId="0" borderId="0" xfId="0" applyNumberFormat="1" applyFont="1" applyAlignment="1">
      <alignment horizontal="right" readingOrder="1"/>
    </xf>
    <xf numFmtId="0" fontId="48" fillId="0" borderId="0" xfId="0" applyFont="1" applyAlignment="1">
      <alignment horizontal="right" readingOrder="2"/>
    </xf>
    <xf numFmtId="164" fontId="48" fillId="0" borderId="0" xfId="0" applyNumberFormat="1" applyFont="1" applyAlignment="1">
      <alignment readingOrder="1"/>
    </xf>
    <xf numFmtId="165" fontId="48" fillId="0" borderId="0" xfId="0" applyNumberFormat="1" applyFont="1" applyAlignment="1">
      <alignment horizontal="right" readingOrder="1"/>
    </xf>
    <xf numFmtId="165" fontId="48" fillId="0" borderId="0" xfId="0" applyNumberFormat="1" applyFont="1" applyAlignment="1">
      <alignment readingOrder="1"/>
    </xf>
    <xf numFmtId="0" fontId="45" fillId="0" borderId="0" xfId="97" applyAlignment="1">
      <alignment horizontal="right" readingOrder="2"/>
    </xf>
    <xf numFmtId="164" fontId="45" fillId="0" borderId="0" xfId="97" applyNumberFormat="1" applyAlignment="1">
      <alignment horizontal="right" readingOrder="2"/>
    </xf>
    <xf numFmtId="166" fontId="48" fillId="0" borderId="0" xfId="0" applyNumberFormat="1" applyFont="1" applyAlignment="1">
      <alignment horizontal="right" readingOrder="1"/>
    </xf>
  </cellXfs>
  <cellStyles count="10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20% - הדגשה1 2" xfId="63" xr:uid="{00000000-0005-0000-0000-000001000000}"/>
    <cellStyle name="20% - הדגשה2 2" xfId="67" xr:uid="{00000000-0005-0000-0000-000003000000}"/>
    <cellStyle name="20% - הדגשה3 2" xfId="71" xr:uid="{00000000-0005-0000-0000-000005000000}"/>
    <cellStyle name="20% - הדגשה4 2" xfId="75" xr:uid="{00000000-0005-0000-0000-000007000000}"/>
    <cellStyle name="20% - הדגשה5 2" xfId="79" xr:uid="{00000000-0005-0000-0000-000009000000}"/>
    <cellStyle name="20% - הדגשה6 2" xfId="83" xr:uid="{00000000-0005-0000-0000-00000B000000}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40% - הדגשה1 2" xfId="64" xr:uid="{00000000-0005-0000-0000-00000D000000}"/>
    <cellStyle name="40% - הדגשה2 2" xfId="68" xr:uid="{00000000-0005-0000-0000-00000F000000}"/>
    <cellStyle name="40% - הדגשה3 2" xfId="72" xr:uid="{00000000-0005-0000-0000-000011000000}"/>
    <cellStyle name="40% - הדגשה4 2" xfId="76" xr:uid="{00000000-0005-0000-0000-000013000000}"/>
    <cellStyle name="40% - הדגשה5 2" xfId="80" xr:uid="{00000000-0005-0000-0000-000015000000}"/>
    <cellStyle name="40% - הדגשה6 2" xfId="84" xr:uid="{00000000-0005-0000-0000-000017000000}"/>
    <cellStyle name="60% - Accent1" xfId="21" builtinId="32" customBuiltin="1"/>
    <cellStyle name="60% - Accent1 2" xfId="90" xr:uid="{37B2A4CE-5BC4-415B-B03A-14665A929B93}"/>
    <cellStyle name="60% - Accent2" xfId="25" builtinId="36" customBuiltin="1"/>
    <cellStyle name="60% - Accent2 2" xfId="91" xr:uid="{371A9F27-7928-4EF0-A7DC-D857B31B8B94}"/>
    <cellStyle name="60% - Accent3" xfId="29" builtinId="40" customBuiltin="1"/>
    <cellStyle name="60% - Accent3 2" xfId="92" xr:uid="{F9244274-448F-4902-9E20-54073ABC787F}"/>
    <cellStyle name="60% - Accent4" xfId="33" builtinId="44" customBuiltin="1"/>
    <cellStyle name="60% - Accent4 2" xfId="93" xr:uid="{8BDAF421-3BBC-4DB0-94AD-A3EF7D6C85B6}"/>
    <cellStyle name="60% - Accent5" xfId="37" builtinId="48" customBuiltin="1"/>
    <cellStyle name="60% - Accent5 2" xfId="94" xr:uid="{06F0FDA7-61B4-4010-A8D1-2A307857C544}"/>
    <cellStyle name="60% - Accent6" xfId="41" builtinId="52" customBuiltin="1"/>
    <cellStyle name="60% - Accent6 2" xfId="95" xr:uid="{F6626165-1C10-4BD5-9ECB-D20969BDD0EB}"/>
    <cellStyle name="60% - הדגשה1 2" xfId="65" xr:uid="{00000000-0005-0000-0000-000019000000}"/>
    <cellStyle name="60% - הדגשה2 2" xfId="69" xr:uid="{00000000-0005-0000-0000-00001B000000}"/>
    <cellStyle name="60% - הדגשה3 2" xfId="73" xr:uid="{00000000-0005-0000-0000-00001D000000}"/>
    <cellStyle name="60% - הדגשה4 2" xfId="77" xr:uid="{00000000-0005-0000-0000-00001F000000}"/>
    <cellStyle name="60% - הדגשה5 2" xfId="81" xr:uid="{00000000-0005-0000-0000-000021000000}"/>
    <cellStyle name="60% - הדגשה6 2" xfId="85" xr:uid="{00000000-0005-0000-0000-000023000000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89" xr:uid="{61AEA179-E519-4E7F-B835-83528FBEAA28}"/>
    <cellStyle name="Normal" xfId="0" builtinId="0"/>
    <cellStyle name="Normal 10" xfId="99" xr:uid="{4A4EBE07-0AB8-42BE-8376-9134D2273CBC}"/>
    <cellStyle name="Normal 2" xfId="42" xr:uid="{00000000-0005-0000-0000-000025000000}"/>
    <cellStyle name="Normal 3" xfId="43" xr:uid="{00000000-0005-0000-0000-000026000000}"/>
    <cellStyle name="Normal 4" xfId="44" xr:uid="{00000000-0005-0000-0000-000027000000}"/>
    <cellStyle name="Normal 5" xfId="86" xr:uid="{B7CBE352-4C59-4658-8D89-28A76114DBBC}"/>
    <cellStyle name="Normal 6" xfId="87" xr:uid="{BA7028CF-B5C2-4232-BE52-24A00C6F5397}"/>
    <cellStyle name="Normal 7" xfId="96" xr:uid="{2BE8FB72-C0A8-4221-852F-666CE8B21C8F}"/>
    <cellStyle name="Normal 8" xfId="97" xr:uid="{EB184158-C702-4028-A8D0-5893FEA376E7}"/>
    <cellStyle name="Normal 9" xfId="98" xr:uid="{0B45C41A-2E98-41FF-B6E2-9D617ECFA360}"/>
    <cellStyle name="Note" xfId="15" builtinId="10" customBuiltin="1"/>
    <cellStyle name="Output" xfId="10" builtinId="21" customBuiltin="1"/>
    <cellStyle name="Title" xfId="1" builtinId="15" customBuiltin="1"/>
    <cellStyle name="Title 2" xfId="88" xr:uid="{571640B3-E4E7-4294-B361-8FC42C138B24}"/>
    <cellStyle name="Total" xfId="17" builtinId="25" customBuiltin="1"/>
    <cellStyle name="Warning Text" xfId="14" builtinId="11" customBuiltin="1"/>
    <cellStyle name="הדגשה1 2" xfId="62" xr:uid="{00000000-0005-0000-0000-000029000000}"/>
    <cellStyle name="הדגשה2 2" xfId="66" xr:uid="{00000000-0005-0000-0000-00002B000000}"/>
    <cellStyle name="הדגשה3 2" xfId="70" xr:uid="{00000000-0005-0000-0000-00002D000000}"/>
    <cellStyle name="הדגשה4 2" xfId="74" xr:uid="{00000000-0005-0000-0000-00002F000000}"/>
    <cellStyle name="הדגשה5 2" xfId="78" xr:uid="{00000000-0005-0000-0000-000031000000}"/>
    <cellStyle name="הדגשה6 2" xfId="82" xr:uid="{00000000-0005-0000-0000-000033000000}"/>
    <cellStyle name="הערה 2" xfId="59" xr:uid="{00000000-0005-0000-0000-000035000000}"/>
    <cellStyle name="חישוב 2" xfId="55" xr:uid="{00000000-0005-0000-0000-000037000000}"/>
    <cellStyle name="טוב 2" xfId="50" xr:uid="{00000000-0005-0000-0000-000039000000}"/>
    <cellStyle name="טקסט אזהרה 2" xfId="58" xr:uid="{00000000-0005-0000-0000-00003B000000}"/>
    <cellStyle name="טקסט הסברי 2" xfId="60" xr:uid="{00000000-0005-0000-0000-00003D000000}"/>
    <cellStyle name="כותרת 1 2" xfId="46" xr:uid="{00000000-0005-0000-0000-000040000000}"/>
    <cellStyle name="כותרת 2 2" xfId="47" xr:uid="{00000000-0005-0000-0000-000042000000}"/>
    <cellStyle name="כותרת 3 2" xfId="48" xr:uid="{00000000-0005-0000-0000-000044000000}"/>
    <cellStyle name="כותרת 4 2" xfId="49" xr:uid="{00000000-0005-0000-0000-000046000000}"/>
    <cellStyle name="כותרת 5" xfId="45" xr:uid="{00000000-0005-0000-0000-000047000000}"/>
    <cellStyle name="ניטראלי 2" xfId="52" xr:uid="{00000000-0005-0000-0000-000049000000}"/>
    <cellStyle name="סה&quot;כ 2" xfId="61" xr:uid="{00000000-0005-0000-0000-00004B000000}"/>
    <cellStyle name="פלט 2" xfId="54" xr:uid="{00000000-0005-0000-0000-00004D000000}"/>
    <cellStyle name="קלט 2" xfId="53" xr:uid="{00000000-0005-0000-0000-00004F000000}"/>
    <cellStyle name="רע 2" xfId="51" xr:uid="{00000000-0005-0000-0000-000051000000}"/>
    <cellStyle name="תא מסומן 2" xfId="57" xr:uid="{00000000-0005-0000-0000-000053000000}"/>
    <cellStyle name="תא מקושר 2" xfId="56" xr:uid="{00000000-0005-0000-0000-00005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505;&#1497;&#1499;&#1493;&#1501;%20&#1492;&#1499;&#1504;&#1505;&#1493;&#1514;%20&#1492;&#1493;&#1510;&#1488;&#1514;%20-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סיכום"/>
      <sheetName val="הכנסות"/>
      <sheetName val="הוצאות"/>
      <sheetName val="הוצאות ידנ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טבלא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נופש</v>
          </cell>
        </row>
        <row r="4">
          <cell r="A4" t="str">
            <v>בילוי ומסעדות</v>
          </cell>
        </row>
        <row r="5">
          <cell r="A5" t="str">
            <v>חינוך ומשפחה</v>
          </cell>
        </row>
        <row r="6">
          <cell r="A6" t="str">
            <v>תרבות ופנאי</v>
          </cell>
        </row>
        <row r="7">
          <cell r="A7" t="str">
            <v>מזון ומשקאות</v>
          </cell>
        </row>
        <row r="8">
          <cell r="A8" t="str">
            <v>ביגוד והנעלה</v>
          </cell>
        </row>
        <row r="9">
          <cell r="A9" t="str">
            <v>בריאות</v>
          </cell>
        </row>
        <row r="10">
          <cell r="A10" t="str">
            <v>מוצרי חשמל ותקשורת</v>
          </cell>
        </row>
        <row r="11">
          <cell r="A11" t="str">
            <v>בית וגן</v>
          </cell>
        </row>
        <row r="12">
          <cell r="A12" t="str">
            <v>ביטוח</v>
          </cell>
        </row>
        <row r="13">
          <cell r="A13" t="str">
            <v>רכב ותחבורה</v>
          </cell>
        </row>
        <row r="14">
          <cell r="A14" t="str">
            <v>הלוואות ומשכנתא</v>
          </cell>
        </row>
        <row r="15">
          <cell r="A15" t="str">
            <v>שירותי בנקאות</v>
          </cell>
        </row>
        <row r="16">
          <cell r="A16" t="str">
            <v>שונות</v>
          </cell>
        </row>
        <row r="17">
          <cell r="A17" t="str">
            <v>מזומן</v>
          </cell>
        </row>
        <row r="18">
          <cell r="A18" t="str">
            <v>מתנות ומזכרות</v>
          </cell>
        </row>
        <row r="19">
          <cell r="A19" t="str">
            <v>מטפלת/ מעון</v>
          </cell>
        </row>
        <row r="20">
          <cell r="A20" t="str">
            <v>ילדים</v>
          </cell>
        </row>
        <row r="21">
          <cell r="A21" t="str">
            <v>בית ספר</v>
          </cell>
        </row>
        <row r="22">
          <cell r="A22" t="str">
            <v>חוגים</v>
          </cell>
        </row>
        <row r="23">
          <cell r="A23" t="str">
            <v>קניית דירה/ שכירות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"/>
  <sheetViews>
    <sheetView showGridLines="0" rightToLeft="1" tabSelected="1" zoomScale="120" zoomScaleNormal="120" workbookViewId="0">
      <pane ySplit="1" topLeftCell="A99" activePane="bottomLeft" state="frozen"/>
      <selection pane="bottomLeft" activeCell="A112" sqref="A112:XFD112"/>
    </sheetView>
  </sheetViews>
  <sheetFormatPr defaultRowHeight="15"/>
  <cols>
    <col min="1" max="1" width="16.42578125" customWidth="1"/>
    <col min="2" max="2" width="28.85546875" bestFit="1" customWidth="1"/>
    <col min="3" max="3" width="12.140625" bestFit="1" customWidth="1"/>
    <col min="4" max="4" width="12.42578125" bestFit="1" customWidth="1"/>
    <col min="5" max="5" width="7.5703125" bestFit="1" customWidth="1"/>
    <col min="6" max="6" width="11.140625" bestFit="1" customWidth="1"/>
    <col min="7" max="7" width="42.140625" bestFit="1" customWidth="1"/>
    <col min="8" max="8" width="11.85546875" bestFit="1" customWidth="1"/>
    <col min="9" max="9" width="11.140625" bestFit="1" customWidth="1"/>
    <col min="10" max="10" width="23.28515625" bestFit="1" customWidth="1"/>
    <col min="11" max="11" width="13.5703125" bestFit="1" customWidth="1"/>
    <col min="249" max="250" width="16.42578125" customWidth="1"/>
    <col min="251" max="251" width="16.140625" customWidth="1"/>
    <col min="252" max="252" width="16.85546875" customWidth="1"/>
    <col min="253" max="253" width="17" customWidth="1"/>
    <col min="254" max="254" width="15.7109375" customWidth="1"/>
    <col min="255" max="256" width="17.42578125" customWidth="1"/>
    <col min="257" max="257" width="17.140625" customWidth="1"/>
    <col min="258" max="258" width="13.5703125" customWidth="1"/>
    <col min="259" max="259" width="13" customWidth="1"/>
    <col min="505" max="506" width="16.42578125" customWidth="1"/>
    <col min="507" max="507" width="16.140625" customWidth="1"/>
    <col min="508" max="508" width="16.85546875" customWidth="1"/>
    <col min="509" max="509" width="17" customWidth="1"/>
    <col min="510" max="510" width="15.7109375" customWidth="1"/>
    <col min="511" max="512" width="17.42578125" customWidth="1"/>
    <col min="513" max="513" width="17.140625" customWidth="1"/>
    <col min="514" max="514" width="13.5703125" customWidth="1"/>
    <col min="515" max="515" width="13" customWidth="1"/>
    <col min="761" max="762" width="16.42578125" customWidth="1"/>
    <col min="763" max="763" width="16.140625" customWidth="1"/>
    <col min="764" max="764" width="16.85546875" customWidth="1"/>
    <col min="765" max="765" width="17" customWidth="1"/>
    <col min="766" max="766" width="15.7109375" customWidth="1"/>
    <col min="767" max="768" width="17.42578125" customWidth="1"/>
    <col min="769" max="769" width="17.140625" customWidth="1"/>
    <col min="770" max="770" width="13.5703125" customWidth="1"/>
    <col min="771" max="771" width="13" customWidth="1"/>
    <col min="1017" max="1018" width="16.42578125" customWidth="1"/>
    <col min="1019" max="1019" width="16.140625" customWidth="1"/>
    <col min="1020" max="1020" width="16.85546875" customWidth="1"/>
    <col min="1021" max="1021" width="17" customWidth="1"/>
    <col min="1022" max="1022" width="15.7109375" customWidth="1"/>
    <col min="1023" max="1024" width="17.42578125" customWidth="1"/>
    <col min="1025" max="1025" width="17.140625" customWidth="1"/>
    <col min="1026" max="1026" width="13.5703125" customWidth="1"/>
    <col min="1027" max="1027" width="13" customWidth="1"/>
    <col min="1273" max="1274" width="16.42578125" customWidth="1"/>
    <col min="1275" max="1275" width="16.140625" customWidth="1"/>
    <col min="1276" max="1276" width="16.85546875" customWidth="1"/>
    <col min="1277" max="1277" width="17" customWidth="1"/>
    <col min="1278" max="1278" width="15.7109375" customWidth="1"/>
    <col min="1279" max="1280" width="17.42578125" customWidth="1"/>
    <col min="1281" max="1281" width="17.140625" customWidth="1"/>
    <col min="1282" max="1282" width="13.5703125" customWidth="1"/>
    <col min="1283" max="1283" width="13" customWidth="1"/>
    <col min="1529" max="1530" width="16.42578125" customWidth="1"/>
    <col min="1531" max="1531" width="16.140625" customWidth="1"/>
    <col min="1532" max="1532" width="16.85546875" customWidth="1"/>
    <col min="1533" max="1533" width="17" customWidth="1"/>
    <col min="1534" max="1534" width="15.7109375" customWidth="1"/>
    <col min="1535" max="1536" width="17.42578125" customWidth="1"/>
    <col min="1537" max="1537" width="17.140625" customWidth="1"/>
    <col min="1538" max="1538" width="13.5703125" customWidth="1"/>
    <col min="1539" max="1539" width="13" customWidth="1"/>
    <col min="1785" max="1786" width="16.42578125" customWidth="1"/>
    <col min="1787" max="1787" width="16.140625" customWidth="1"/>
    <col min="1788" max="1788" width="16.85546875" customWidth="1"/>
    <col min="1789" max="1789" width="17" customWidth="1"/>
    <col min="1790" max="1790" width="15.7109375" customWidth="1"/>
    <col min="1791" max="1792" width="17.42578125" customWidth="1"/>
    <col min="1793" max="1793" width="17.140625" customWidth="1"/>
    <col min="1794" max="1794" width="13.5703125" customWidth="1"/>
    <col min="1795" max="1795" width="13" customWidth="1"/>
    <col min="2041" max="2042" width="16.42578125" customWidth="1"/>
    <col min="2043" max="2043" width="16.140625" customWidth="1"/>
    <col min="2044" max="2044" width="16.85546875" customWidth="1"/>
    <col min="2045" max="2045" width="17" customWidth="1"/>
    <col min="2046" max="2046" width="15.7109375" customWidth="1"/>
    <col min="2047" max="2048" width="17.42578125" customWidth="1"/>
    <col min="2049" max="2049" width="17.140625" customWidth="1"/>
    <col min="2050" max="2050" width="13.5703125" customWidth="1"/>
    <col min="2051" max="2051" width="13" customWidth="1"/>
    <col min="2297" max="2298" width="16.42578125" customWidth="1"/>
    <col min="2299" max="2299" width="16.140625" customWidth="1"/>
    <col min="2300" max="2300" width="16.85546875" customWidth="1"/>
    <col min="2301" max="2301" width="17" customWidth="1"/>
    <col min="2302" max="2302" width="15.7109375" customWidth="1"/>
    <col min="2303" max="2304" width="17.42578125" customWidth="1"/>
    <col min="2305" max="2305" width="17.140625" customWidth="1"/>
    <col min="2306" max="2306" width="13.5703125" customWidth="1"/>
    <col min="2307" max="2307" width="13" customWidth="1"/>
    <col min="2553" max="2554" width="16.42578125" customWidth="1"/>
    <col min="2555" max="2555" width="16.140625" customWidth="1"/>
    <col min="2556" max="2556" width="16.85546875" customWidth="1"/>
    <col min="2557" max="2557" width="17" customWidth="1"/>
    <col min="2558" max="2558" width="15.7109375" customWidth="1"/>
    <col min="2559" max="2560" width="17.42578125" customWidth="1"/>
    <col min="2561" max="2561" width="17.140625" customWidth="1"/>
    <col min="2562" max="2562" width="13.5703125" customWidth="1"/>
    <col min="2563" max="2563" width="13" customWidth="1"/>
    <col min="2809" max="2810" width="16.42578125" customWidth="1"/>
    <col min="2811" max="2811" width="16.140625" customWidth="1"/>
    <col min="2812" max="2812" width="16.85546875" customWidth="1"/>
    <col min="2813" max="2813" width="17" customWidth="1"/>
    <col min="2814" max="2814" width="15.7109375" customWidth="1"/>
    <col min="2815" max="2816" width="17.42578125" customWidth="1"/>
    <col min="2817" max="2817" width="17.140625" customWidth="1"/>
    <col min="2818" max="2818" width="13.5703125" customWidth="1"/>
    <col min="2819" max="2819" width="13" customWidth="1"/>
    <col min="3065" max="3066" width="16.42578125" customWidth="1"/>
    <col min="3067" max="3067" width="16.140625" customWidth="1"/>
    <col min="3068" max="3068" width="16.85546875" customWidth="1"/>
    <col min="3069" max="3069" width="17" customWidth="1"/>
    <col min="3070" max="3070" width="15.7109375" customWidth="1"/>
    <col min="3071" max="3072" width="17.42578125" customWidth="1"/>
    <col min="3073" max="3073" width="17.140625" customWidth="1"/>
    <col min="3074" max="3074" width="13.5703125" customWidth="1"/>
    <col min="3075" max="3075" width="13" customWidth="1"/>
    <col min="3321" max="3322" width="16.42578125" customWidth="1"/>
    <col min="3323" max="3323" width="16.140625" customWidth="1"/>
    <col min="3324" max="3324" width="16.85546875" customWidth="1"/>
    <col min="3325" max="3325" width="17" customWidth="1"/>
    <col min="3326" max="3326" width="15.7109375" customWidth="1"/>
    <col min="3327" max="3328" width="17.42578125" customWidth="1"/>
    <col min="3329" max="3329" width="17.140625" customWidth="1"/>
    <col min="3330" max="3330" width="13.5703125" customWidth="1"/>
    <col min="3331" max="3331" width="13" customWidth="1"/>
    <col min="3577" max="3578" width="16.42578125" customWidth="1"/>
    <col min="3579" max="3579" width="16.140625" customWidth="1"/>
    <col min="3580" max="3580" width="16.85546875" customWidth="1"/>
    <col min="3581" max="3581" width="17" customWidth="1"/>
    <col min="3582" max="3582" width="15.7109375" customWidth="1"/>
    <col min="3583" max="3584" width="17.42578125" customWidth="1"/>
    <col min="3585" max="3585" width="17.140625" customWidth="1"/>
    <col min="3586" max="3586" width="13.5703125" customWidth="1"/>
    <col min="3587" max="3587" width="13" customWidth="1"/>
    <col min="3833" max="3834" width="16.42578125" customWidth="1"/>
    <col min="3835" max="3835" width="16.140625" customWidth="1"/>
    <col min="3836" max="3836" width="16.85546875" customWidth="1"/>
    <col min="3837" max="3837" width="17" customWidth="1"/>
    <col min="3838" max="3838" width="15.7109375" customWidth="1"/>
    <col min="3839" max="3840" width="17.42578125" customWidth="1"/>
    <col min="3841" max="3841" width="17.140625" customWidth="1"/>
    <col min="3842" max="3842" width="13.5703125" customWidth="1"/>
    <col min="3843" max="3843" width="13" customWidth="1"/>
    <col min="4089" max="4090" width="16.42578125" customWidth="1"/>
    <col min="4091" max="4091" width="16.140625" customWidth="1"/>
    <col min="4092" max="4092" width="16.85546875" customWidth="1"/>
    <col min="4093" max="4093" width="17" customWidth="1"/>
    <col min="4094" max="4094" width="15.7109375" customWidth="1"/>
    <col min="4095" max="4096" width="17.42578125" customWidth="1"/>
    <col min="4097" max="4097" width="17.140625" customWidth="1"/>
    <col min="4098" max="4098" width="13.5703125" customWidth="1"/>
    <col min="4099" max="4099" width="13" customWidth="1"/>
    <col min="4345" max="4346" width="16.42578125" customWidth="1"/>
    <col min="4347" max="4347" width="16.140625" customWidth="1"/>
    <col min="4348" max="4348" width="16.85546875" customWidth="1"/>
    <col min="4349" max="4349" width="17" customWidth="1"/>
    <col min="4350" max="4350" width="15.7109375" customWidth="1"/>
    <col min="4351" max="4352" width="17.42578125" customWidth="1"/>
    <col min="4353" max="4353" width="17.140625" customWidth="1"/>
    <col min="4354" max="4354" width="13.5703125" customWidth="1"/>
    <col min="4355" max="4355" width="13" customWidth="1"/>
    <col min="4601" max="4602" width="16.42578125" customWidth="1"/>
    <col min="4603" max="4603" width="16.140625" customWidth="1"/>
    <col min="4604" max="4604" width="16.85546875" customWidth="1"/>
    <col min="4605" max="4605" width="17" customWidth="1"/>
    <col min="4606" max="4606" width="15.7109375" customWidth="1"/>
    <col min="4607" max="4608" width="17.42578125" customWidth="1"/>
    <col min="4609" max="4609" width="17.140625" customWidth="1"/>
    <col min="4610" max="4610" width="13.5703125" customWidth="1"/>
    <col min="4611" max="4611" width="13" customWidth="1"/>
    <col min="4857" max="4858" width="16.42578125" customWidth="1"/>
    <col min="4859" max="4859" width="16.140625" customWidth="1"/>
    <col min="4860" max="4860" width="16.85546875" customWidth="1"/>
    <col min="4861" max="4861" width="17" customWidth="1"/>
    <col min="4862" max="4862" width="15.7109375" customWidth="1"/>
    <col min="4863" max="4864" width="17.42578125" customWidth="1"/>
    <col min="4865" max="4865" width="17.140625" customWidth="1"/>
    <col min="4866" max="4866" width="13.5703125" customWidth="1"/>
    <col min="4867" max="4867" width="13" customWidth="1"/>
    <col min="5113" max="5114" width="16.42578125" customWidth="1"/>
    <col min="5115" max="5115" width="16.140625" customWidth="1"/>
    <col min="5116" max="5116" width="16.85546875" customWidth="1"/>
    <col min="5117" max="5117" width="17" customWidth="1"/>
    <col min="5118" max="5118" width="15.7109375" customWidth="1"/>
    <col min="5119" max="5120" width="17.42578125" customWidth="1"/>
    <col min="5121" max="5121" width="17.140625" customWidth="1"/>
    <col min="5122" max="5122" width="13.5703125" customWidth="1"/>
    <col min="5123" max="5123" width="13" customWidth="1"/>
    <col min="5369" max="5370" width="16.42578125" customWidth="1"/>
    <col min="5371" max="5371" width="16.140625" customWidth="1"/>
    <col min="5372" max="5372" width="16.85546875" customWidth="1"/>
    <col min="5373" max="5373" width="17" customWidth="1"/>
    <col min="5374" max="5374" width="15.7109375" customWidth="1"/>
    <col min="5375" max="5376" width="17.42578125" customWidth="1"/>
    <col min="5377" max="5377" width="17.140625" customWidth="1"/>
    <col min="5378" max="5378" width="13.5703125" customWidth="1"/>
    <col min="5379" max="5379" width="13" customWidth="1"/>
    <col min="5625" max="5626" width="16.42578125" customWidth="1"/>
    <col min="5627" max="5627" width="16.140625" customWidth="1"/>
    <col min="5628" max="5628" width="16.85546875" customWidth="1"/>
    <col min="5629" max="5629" width="17" customWidth="1"/>
    <col min="5630" max="5630" width="15.7109375" customWidth="1"/>
    <col min="5631" max="5632" width="17.42578125" customWidth="1"/>
    <col min="5633" max="5633" width="17.140625" customWidth="1"/>
    <col min="5634" max="5634" width="13.5703125" customWidth="1"/>
    <col min="5635" max="5635" width="13" customWidth="1"/>
    <col min="5881" max="5882" width="16.42578125" customWidth="1"/>
    <col min="5883" max="5883" width="16.140625" customWidth="1"/>
    <col min="5884" max="5884" width="16.85546875" customWidth="1"/>
    <col min="5885" max="5885" width="17" customWidth="1"/>
    <col min="5886" max="5886" width="15.7109375" customWidth="1"/>
    <col min="5887" max="5888" width="17.42578125" customWidth="1"/>
    <col min="5889" max="5889" width="17.140625" customWidth="1"/>
    <col min="5890" max="5890" width="13.5703125" customWidth="1"/>
    <col min="5891" max="5891" width="13" customWidth="1"/>
    <col min="6137" max="6138" width="16.42578125" customWidth="1"/>
    <col min="6139" max="6139" width="16.140625" customWidth="1"/>
    <col min="6140" max="6140" width="16.85546875" customWidth="1"/>
    <col min="6141" max="6141" width="17" customWidth="1"/>
    <col min="6142" max="6142" width="15.7109375" customWidth="1"/>
    <col min="6143" max="6144" width="17.42578125" customWidth="1"/>
    <col min="6145" max="6145" width="17.140625" customWidth="1"/>
    <col min="6146" max="6146" width="13.5703125" customWidth="1"/>
    <col min="6147" max="6147" width="13" customWidth="1"/>
    <col min="6393" max="6394" width="16.42578125" customWidth="1"/>
    <col min="6395" max="6395" width="16.140625" customWidth="1"/>
    <col min="6396" max="6396" width="16.85546875" customWidth="1"/>
    <col min="6397" max="6397" width="17" customWidth="1"/>
    <col min="6398" max="6398" width="15.7109375" customWidth="1"/>
    <col min="6399" max="6400" width="17.42578125" customWidth="1"/>
    <col min="6401" max="6401" width="17.140625" customWidth="1"/>
    <col min="6402" max="6402" width="13.5703125" customWidth="1"/>
    <col min="6403" max="6403" width="13" customWidth="1"/>
    <col min="6649" max="6650" width="16.42578125" customWidth="1"/>
    <col min="6651" max="6651" width="16.140625" customWidth="1"/>
    <col min="6652" max="6652" width="16.85546875" customWidth="1"/>
    <col min="6653" max="6653" width="17" customWidth="1"/>
    <col min="6654" max="6654" width="15.7109375" customWidth="1"/>
    <col min="6655" max="6656" width="17.42578125" customWidth="1"/>
    <col min="6657" max="6657" width="17.140625" customWidth="1"/>
    <col min="6658" max="6658" width="13.5703125" customWidth="1"/>
    <col min="6659" max="6659" width="13" customWidth="1"/>
    <col min="6905" max="6906" width="16.42578125" customWidth="1"/>
    <col min="6907" max="6907" width="16.140625" customWidth="1"/>
    <col min="6908" max="6908" width="16.85546875" customWidth="1"/>
    <col min="6909" max="6909" width="17" customWidth="1"/>
    <col min="6910" max="6910" width="15.7109375" customWidth="1"/>
    <col min="6911" max="6912" width="17.42578125" customWidth="1"/>
    <col min="6913" max="6913" width="17.140625" customWidth="1"/>
    <col min="6914" max="6914" width="13.5703125" customWidth="1"/>
    <col min="6915" max="6915" width="13" customWidth="1"/>
    <col min="7161" max="7162" width="16.42578125" customWidth="1"/>
    <col min="7163" max="7163" width="16.140625" customWidth="1"/>
    <col min="7164" max="7164" width="16.85546875" customWidth="1"/>
    <col min="7165" max="7165" width="17" customWidth="1"/>
    <col min="7166" max="7166" width="15.7109375" customWidth="1"/>
    <col min="7167" max="7168" width="17.42578125" customWidth="1"/>
    <col min="7169" max="7169" width="17.140625" customWidth="1"/>
    <col min="7170" max="7170" width="13.5703125" customWidth="1"/>
    <col min="7171" max="7171" width="13" customWidth="1"/>
    <col min="7417" max="7418" width="16.42578125" customWidth="1"/>
    <col min="7419" max="7419" width="16.140625" customWidth="1"/>
    <col min="7420" max="7420" width="16.85546875" customWidth="1"/>
    <col min="7421" max="7421" width="17" customWidth="1"/>
    <col min="7422" max="7422" width="15.7109375" customWidth="1"/>
    <col min="7423" max="7424" width="17.42578125" customWidth="1"/>
    <col min="7425" max="7425" width="17.140625" customWidth="1"/>
    <col min="7426" max="7426" width="13.5703125" customWidth="1"/>
    <col min="7427" max="7427" width="13" customWidth="1"/>
    <col min="7673" max="7674" width="16.42578125" customWidth="1"/>
    <col min="7675" max="7675" width="16.140625" customWidth="1"/>
    <col min="7676" max="7676" width="16.85546875" customWidth="1"/>
    <col min="7677" max="7677" width="17" customWidth="1"/>
    <col min="7678" max="7678" width="15.7109375" customWidth="1"/>
    <col min="7679" max="7680" width="17.42578125" customWidth="1"/>
    <col min="7681" max="7681" width="17.140625" customWidth="1"/>
    <col min="7682" max="7682" width="13.5703125" customWidth="1"/>
    <col min="7683" max="7683" width="13" customWidth="1"/>
    <col min="7929" max="7930" width="16.42578125" customWidth="1"/>
    <col min="7931" max="7931" width="16.140625" customWidth="1"/>
    <col min="7932" max="7932" width="16.85546875" customWidth="1"/>
    <col min="7933" max="7933" width="17" customWidth="1"/>
    <col min="7934" max="7934" width="15.7109375" customWidth="1"/>
    <col min="7935" max="7936" width="17.42578125" customWidth="1"/>
    <col min="7937" max="7937" width="17.140625" customWidth="1"/>
    <col min="7938" max="7938" width="13.5703125" customWidth="1"/>
    <col min="7939" max="7939" width="13" customWidth="1"/>
    <col min="8185" max="8186" width="16.42578125" customWidth="1"/>
    <col min="8187" max="8187" width="16.140625" customWidth="1"/>
    <col min="8188" max="8188" width="16.85546875" customWidth="1"/>
    <col min="8189" max="8189" width="17" customWidth="1"/>
    <col min="8190" max="8190" width="15.7109375" customWidth="1"/>
    <col min="8191" max="8192" width="17.42578125" customWidth="1"/>
    <col min="8193" max="8193" width="17.140625" customWidth="1"/>
    <col min="8194" max="8194" width="13.5703125" customWidth="1"/>
    <col min="8195" max="8195" width="13" customWidth="1"/>
    <col min="8441" max="8442" width="16.42578125" customWidth="1"/>
    <col min="8443" max="8443" width="16.140625" customWidth="1"/>
    <col min="8444" max="8444" width="16.85546875" customWidth="1"/>
    <col min="8445" max="8445" width="17" customWidth="1"/>
    <col min="8446" max="8446" width="15.7109375" customWidth="1"/>
    <col min="8447" max="8448" width="17.42578125" customWidth="1"/>
    <col min="8449" max="8449" width="17.140625" customWidth="1"/>
    <col min="8450" max="8450" width="13.5703125" customWidth="1"/>
    <col min="8451" max="8451" width="13" customWidth="1"/>
    <col min="8697" max="8698" width="16.42578125" customWidth="1"/>
    <col min="8699" max="8699" width="16.140625" customWidth="1"/>
    <col min="8700" max="8700" width="16.85546875" customWidth="1"/>
    <col min="8701" max="8701" width="17" customWidth="1"/>
    <col min="8702" max="8702" width="15.7109375" customWidth="1"/>
    <col min="8703" max="8704" width="17.42578125" customWidth="1"/>
    <col min="8705" max="8705" width="17.140625" customWidth="1"/>
    <col min="8706" max="8706" width="13.5703125" customWidth="1"/>
    <col min="8707" max="8707" width="13" customWidth="1"/>
    <col min="8953" max="8954" width="16.42578125" customWidth="1"/>
    <col min="8955" max="8955" width="16.140625" customWidth="1"/>
    <col min="8956" max="8956" width="16.85546875" customWidth="1"/>
    <col min="8957" max="8957" width="17" customWidth="1"/>
    <col min="8958" max="8958" width="15.7109375" customWidth="1"/>
    <col min="8959" max="8960" width="17.42578125" customWidth="1"/>
    <col min="8961" max="8961" width="17.140625" customWidth="1"/>
    <col min="8962" max="8962" width="13.5703125" customWidth="1"/>
    <col min="8963" max="8963" width="13" customWidth="1"/>
    <col min="9209" max="9210" width="16.42578125" customWidth="1"/>
    <col min="9211" max="9211" width="16.140625" customWidth="1"/>
    <col min="9212" max="9212" width="16.85546875" customWidth="1"/>
    <col min="9213" max="9213" width="17" customWidth="1"/>
    <col min="9214" max="9214" width="15.7109375" customWidth="1"/>
    <col min="9215" max="9216" width="17.42578125" customWidth="1"/>
    <col min="9217" max="9217" width="17.140625" customWidth="1"/>
    <col min="9218" max="9218" width="13.5703125" customWidth="1"/>
    <col min="9219" max="9219" width="13" customWidth="1"/>
    <col min="9465" max="9466" width="16.42578125" customWidth="1"/>
    <col min="9467" max="9467" width="16.140625" customWidth="1"/>
    <col min="9468" max="9468" width="16.85546875" customWidth="1"/>
    <col min="9469" max="9469" width="17" customWidth="1"/>
    <col min="9470" max="9470" width="15.7109375" customWidth="1"/>
    <col min="9471" max="9472" width="17.42578125" customWidth="1"/>
    <col min="9473" max="9473" width="17.140625" customWidth="1"/>
    <col min="9474" max="9474" width="13.5703125" customWidth="1"/>
    <col min="9475" max="9475" width="13" customWidth="1"/>
    <col min="9721" max="9722" width="16.42578125" customWidth="1"/>
    <col min="9723" max="9723" width="16.140625" customWidth="1"/>
    <col min="9724" max="9724" width="16.85546875" customWidth="1"/>
    <col min="9725" max="9725" width="17" customWidth="1"/>
    <col min="9726" max="9726" width="15.7109375" customWidth="1"/>
    <col min="9727" max="9728" width="17.42578125" customWidth="1"/>
    <col min="9729" max="9729" width="17.140625" customWidth="1"/>
    <col min="9730" max="9730" width="13.5703125" customWidth="1"/>
    <col min="9731" max="9731" width="13" customWidth="1"/>
    <col min="9977" max="9978" width="16.42578125" customWidth="1"/>
    <col min="9979" max="9979" width="16.140625" customWidth="1"/>
    <col min="9980" max="9980" width="16.85546875" customWidth="1"/>
    <col min="9981" max="9981" width="17" customWidth="1"/>
    <col min="9982" max="9982" width="15.7109375" customWidth="1"/>
    <col min="9983" max="9984" width="17.42578125" customWidth="1"/>
    <col min="9985" max="9985" width="17.140625" customWidth="1"/>
    <col min="9986" max="9986" width="13.5703125" customWidth="1"/>
    <col min="9987" max="9987" width="13" customWidth="1"/>
    <col min="10233" max="10234" width="16.42578125" customWidth="1"/>
    <col min="10235" max="10235" width="16.140625" customWidth="1"/>
    <col min="10236" max="10236" width="16.85546875" customWidth="1"/>
    <col min="10237" max="10237" width="17" customWidth="1"/>
    <col min="10238" max="10238" width="15.7109375" customWidth="1"/>
    <col min="10239" max="10240" width="17.42578125" customWidth="1"/>
    <col min="10241" max="10241" width="17.140625" customWidth="1"/>
    <col min="10242" max="10242" width="13.5703125" customWidth="1"/>
    <col min="10243" max="10243" width="13" customWidth="1"/>
    <col min="10489" max="10490" width="16.42578125" customWidth="1"/>
    <col min="10491" max="10491" width="16.140625" customWidth="1"/>
    <col min="10492" max="10492" width="16.85546875" customWidth="1"/>
    <col min="10493" max="10493" width="17" customWidth="1"/>
    <col min="10494" max="10494" width="15.7109375" customWidth="1"/>
    <col min="10495" max="10496" width="17.42578125" customWidth="1"/>
    <col min="10497" max="10497" width="17.140625" customWidth="1"/>
    <col min="10498" max="10498" width="13.5703125" customWidth="1"/>
    <col min="10499" max="10499" width="13" customWidth="1"/>
    <col min="10745" max="10746" width="16.42578125" customWidth="1"/>
    <col min="10747" max="10747" width="16.140625" customWidth="1"/>
    <col min="10748" max="10748" width="16.85546875" customWidth="1"/>
    <col min="10749" max="10749" width="17" customWidth="1"/>
    <col min="10750" max="10750" width="15.7109375" customWidth="1"/>
    <col min="10751" max="10752" width="17.42578125" customWidth="1"/>
    <col min="10753" max="10753" width="17.140625" customWidth="1"/>
    <col min="10754" max="10754" width="13.5703125" customWidth="1"/>
    <col min="10755" max="10755" width="13" customWidth="1"/>
    <col min="11001" max="11002" width="16.42578125" customWidth="1"/>
    <col min="11003" max="11003" width="16.140625" customWidth="1"/>
    <col min="11004" max="11004" width="16.85546875" customWidth="1"/>
    <col min="11005" max="11005" width="17" customWidth="1"/>
    <col min="11006" max="11006" width="15.7109375" customWidth="1"/>
    <col min="11007" max="11008" width="17.42578125" customWidth="1"/>
    <col min="11009" max="11009" width="17.140625" customWidth="1"/>
    <col min="11010" max="11010" width="13.5703125" customWidth="1"/>
    <col min="11011" max="11011" width="13" customWidth="1"/>
    <col min="11257" max="11258" width="16.42578125" customWidth="1"/>
    <col min="11259" max="11259" width="16.140625" customWidth="1"/>
    <col min="11260" max="11260" width="16.85546875" customWidth="1"/>
    <col min="11261" max="11261" width="17" customWidth="1"/>
    <col min="11262" max="11262" width="15.7109375" customWidth="1"/>
    <col min="11263" max="11264" width="17.42578125" customWidth="1"/>
    <col min="11265" max="11265" width="17.140625" customWidth="1"/>
    <col min="11266" max="11266" width="13.5703125" customWidth="1"/>
    <col min="11267" max="11267" width="13" customWidth="1"/>
    <col min="11513" max="11514" width="16.42578125" customWidth="1"/>
    <col min="11515" max="11515" width="16.140625" customWidth="1"/>
    <col min="11516" max="11516" width="16.85546875" customWidth="1"/>
    <col min="11517" max="11517" width="17" customWidth="1"/>
    <col min="11518" max="11518" width="15.7109375" customWidth="1"/>
    <col min="11519" max="11520" width="17.42578125" customWidth="1"/>
    <col min="11521" max="11521" width="17.140625" customWidth="1"/>
    <col min="11522" max="11522" width="13.5703125" customWidth="1"/>
    <col min="11523" max="11523" width="13" customWidth="1"/>
    <col min="11769" max="11770" width="16.42578125" customWidth="1"/>
    <col min="11771" max="11771" width="16.140625" customWidth="1"/>
    <col min="11772" max="11772" width="16.85546875" customWidth="1"/>
    <col min="11773" max="11773" width="17" customWidth="1"/>
    <col min="11774" max="11774" width="15.7109375" customWidth="1"/>
    <col min="11775" max="11776" width="17.42578125" customWidth="1"/>
    <col min="11777" max="11777" width="17.140625" customWidth="1"/>
    <col min="11778" max="11778" width="13.5703125" customWidth="1"/>
    <col min="11779" max="11779" width="13" customWidth="1"/>
    <col min="12025" max="12026" width="16.42578125" customWidth="1"/>
    <col min="12027" max="12027" width="16.140625" customWidth="1"/>
    <col min="12028" max="12028" width="16.85546875" customWidth="1"/>
    <col min="12029" max="12029" width="17" customWidth="1"/>
    <col min="12030" max="12030" width="15.7109375" customWidth="1"/>
    <col min="12031" max="12032" width="17.42578125" customWidth="1"/>
    <col min="12033" max="12033" width="17.140625" customWidth="1"/>
    <col min="12034" max="12034" width="13.5703125" customWidth="1"/>
    <col min="12035" max="12035" width="13" customWidth="1"/>
    <col min="12281" max="12282" width="16.42578125" customWidth="1"/>
    <col min="12283" max="12283" width="16.140625" customWidth="1"/>
    <col min="12284" max="12284" width="16.85546875" customWidth="1"/>
    <col min="12285" max="12285" width="17" customWidth="1"/>
    <col min="12286" max="12286" width="15.7109375" customWidth="1"/>
    <col min="12287" max="12288" width="17.42578125" customWidth="1"/>
    <col min="12289" max="12289" width="17.140625" customWidth="1"/>
    <col min="12290" max="12290" width="13.5703125" customWidth="1"/>
    <col min="12291" max="12291" width="13" customWidth="1"/>
    <col min="12537" max="12538" width="16.42578125" customWidth="1"/>
    <col min="12539" max="12539" width="16.140625" customWidth="1"/>
    <col min="12540" max="12540" width="16.85546875" customWidth="1"/>
    <col min="12541" max="12541" width="17" customWidth="1"/>
    <col min="12542" max="12542" width="15.7109375" customWidth="1"/>
    <col min="12543" max="12544" width="17.42578125" customWidth="1"/>
    <col min="12545" max="12545" width="17.140625" customWidth="1"/>
    <col min="12546" max="12546" width="13.5703125" customWidth="1"/>
    <col min="12547" max="12547" width="13" customWidth="1"/>
    <col min="12793" max="12794" width="16.42578125" customWidth="1"/>
    <col min="12795" max="12795" width="16.140625" customWidth="1"/>
    <col min="12796" max="12796" width="16.85546875" customWidth="1"/>
    <col min="12797" max="12797" width="17" customWidth="1"/>
    <col min="12798" max="12798" width="15.7109375" customWidth="1"/>
    <col min="12799" max="12800" width="17.42578125" customWidth="1"/>
    <col min="12801" max="12801" width="17.140625" customWidth="1"/>
    <col min="12802" max="12802" width="13.5703125" customWidth="1"/>
    <col min="12803" max="12803" width="13" customWidth="1"/>
    <col min="13049" max="13050" width="16.42578125" customWidth="1"/>
    <col min="13051" max="13051" width="16.140625" customWidth="1"/>
    <col min="13052" max="13052" width="16.85546875" customWidth="1"/>
    <col min="13053" max="13053" width="17" customWidth="1"/>
    <col min="13054" max="13054" width="15.7109375" customWidth="1"/>
    <col min="13055" max="13056" width="17.42578125" customWidth="1"/>
    <col min="13057" max="13057" width="17.140625" customWidth="1"/>
    <col min="13058" max="13058" width="13.5703125" customWidth="1"/>
    <col min="13059" max="13059" width="13" customWidth="1"/>
    <col min="13305" max="13306" width="16.42578125" customWidth="1"/>
    <col min="13307" max="13307" width="16.140625" customWidth="1"/>
    <col min="13308" max="13308" width="16.85546875" customWidth="1"/>
    <col min="13309" max="13309" width="17" customWidth="1"/>
    <col min="13310" max="13310" width="15.7109375" customWidth="1"/>
    <col min="13311" max="13312" width="17.42578125" customWidth="1"/>
    <col min="13313" max="13313" width="17.140625" customWidth="1"/>
    <col min="13314" max="13314" width="13.5703125" customWidth="1"/>
    <col min="13315" max="13315" width="13" customWidth="1"/>
    <col min="13561" max="13562" width="16.42578125" customWidth="1"/>
    <col min="13563" max="13563" width="16.140625" customWidth="1"/>
    <col min="13564" max="13564" width="16.85546875" customWidth="1"/>
    <col min="13565" max="13565" width="17" customWidth="1"/>
    <col min="13566" max="13566" width="15.7109375" customWidth="1"/>
    <col min="13567" max="13568" width="17.42578125" customWidth="1"/>
    <col min="13569" max="13569" width="17.140625" customWidth="1"/>
    <col min="13570" max="13570" width="13.5703125" customWidth="1"/>
    <col min="13571" max="13571" width="13" customWidth="1"/>
    <col min="13817" max="13818" width="16.42578125" customWidth="1"/>
    <col min="13819" max="13819" width="16.140625" customWidth="1"/>
    <col min="13820" max="13820" width="16.85546875" customWidth="1"/>
    <col min="13821" max="13821" width="17" customWidth="1"/>
    <col min="13822" max="13822" width="15.7109375" customWidth="1"/>
    <col min="13823" max="13824" width="17.42578125" customWidth="1"/>
    <col min="13825" max="13825" width="17.140625" customWidth="1"/>
    <col min="13826" max="13826" width="13.5703125" customWidth="1"/>
    <col min="13827" max="13827" width="13" customWidth="1"/>
    <col min="14073" max="14074" width="16.42578125" customWidth="1"/>
    <col min="14075" max="14075" width="16.140625" customWidth="1"/>
    <col min="14076" max="14076" width="16.85546875" customWidth="1"/>
    <col min="14077" max="14077" width="17" customWidth="1"/>
    <col min="14078" max="14078" width="15.7109375" customWidth="1"/>
    <col min="14079" max="14080" width="17.42578125" customWidth="1"/>
    <col min="14081" max="14081" width="17.140625" customWidth="1"/>
    <col min="14082" max="14082" width="13.5703125" customWidth="1"/>
    <col min="14083" max="14083" width="13" customWidth="1"/>
    <col min="14329" max="14330" width="16.42578125" customWidth="1"/>
    <col min="14331" max="14331" width="16.140625" customWidth="1"/>
    <col min="14332" max="14332" width="16.85546875" customWidth="1"/>
    <col min="14333" max="14333" width="17" customWidth="1"/>
    <col min="14334" max="14334" width="15.7109375" customWidth="1"/>
    <col min="14335" max="14336" width="17.42578125" customWidth="1"/>
    <col min="14337" max="14337" width="17.140625" customWidth="1"/>
    <col min="14338" max="14338" width="13.5703125" customWidth="1"/>
    <col min="14339" max="14339" width="13" customWidth="1"/>
    <col min="14585" max="14586" width="16.42578125" customWidth="1"/>
    <col min="14587" max="14587" width="16.140625" customWidth="1"/>
    <col min="14588" max="14588" width="16.85546875" customWidth="1"/>
    <col min="14589" max="14589" width="17" customWidth="1"/>
    <col min="14590" max="14590" width="15.7109375" customWidth="1"/>
    <col min="14591" max="14592" width="17.42578125" customWidth="1"/>
    <col min="14593" max="14593" width="17.140625" customWidth="1"/>
    <col min="14594" max="14594" width="13.5703125" customWidth="1"/>
    <col min="14595" max="14595" width="13" customWidth="1"/>
    <col min="14841" max="14842" width="16.42578125" customWidth="1"/>
    <col min="14843" max="14843" width="16.140625" customWidth="1"/>
    <col min="14844" max="14844" width="16.85546875" customWidth="1"/>
    <col min="14845" max="14845" width="17" customWidth="1"/>
    <col min="14846" max="14846" width="15.7109375" customWidth="1"/>
    <col min="14847" max="14848" width="17.42578125" customWidth="1"/>
    <col min="14849" max="14849" width="17.140625" customWidth="1"/>
    <col min="14850" max="14850" width="13.5703125" customWidth="1"/>
    <col min="14851" max="14851" width="13" customWidth="1"/>
    <col min="15097" max="15098" width="16.42578125" customWidth="1"/>
    <col min="15099" max="15099" width="16.140625" customWidth="1"/>
    <col min="15100" max="15100" width="16.85546875" customWidth="1"/>
    <col min="15101" max="15101" width="17" customWidth="1"/>
    <col min="15102" max="15102" width="15.7109375" customWidth="1"/>
    <col min="15103" max="15104" width="17.42578125" customWidth="1"/>
    <col min="15105" max="15105" width="17.140625" customWidth="1"/>
    <col min="15106" max="15106" width="13.5703125" customWidth="1"/>
    <col min="15107" max="15107" width="13" customWidth="1"/>
    <col min="15353" max="15354" width="16.42578125" customWidth="1"/>
    <col min="15355" max="15355" width="16.140625" customWidth="1"/>
    <col min="15356" max="15356" width="16.85546875" customWidth="1"/>
    <col min="15357" max="15357" width="17" customWidth="1"/>
    <col min="15358" max="15358" width="15.7109375" customWidth="1"/>
    <col min="15359" max="15360" width="17.42578125" customWidth="1"/>
    <col min="15361" max="15361" width="17.140625" customWidth="1"/>
    <col min="15362" max="15362" width="13.5703125" customWidth="1"/>
    <col min="15363" max="15363" width="13" customWidth="1"/>
    <col min="15609" max="15610" width="16.42578125" customWidth="1"/>
    <col min="15611" max="15611" width="16.140625" customWidth="1"/>
    <col min="15612" max="15612" width="16.85546875" customWidth="1"/>
    <col min="15613" max="15613" width="17" customWidth="1"/>
    <col min="15614" max="15614" width="15.7109375" customWidth="1"/>
    <col min="15615" max="15616" width="17.42578125" customWidth="1"/>
    <col min="15617" max="15617" width="17.140625" customWidth="1"/>
    <col min="15618" max="15618" width="13.5703125" customWidth="1"/>
    <col min="15619" max="15619" width="13" customWidth="1"/>
    <col min="15865" max="15866" width="16.42578125" customWidth="1"/>
    <col min="15867" max="15867" width="16.140625" customWidth="1"/>
    <col min="15868" max="15868" width="16.85546875" customWidth="1"/>
    <col min="15869" max="15869" width="17" customWidth="1"/>
    <col min="15870" max="15870" width="15.7109375" customWidth="1"/>
    <col min="15871" max="15872" width="17.42578125" customWidth="1"/>
    <col min="15873" max="15873" width="17.140625" customWidth="1"/>
    <col min="15874" max="15874" width="13.5703125" customWidth="1"/>
    <col min="15875" max="15875" width="13" customWidth="1"/>
    <col min="16121" max="16122" width="16.42578125" customWidth="1"/>
    <col min="16123" max="16123" width="16.140625" customWidth="1"/>
    <col min="16124" max="16124" width="16.85546875" customWidth="1"/>
    <col min="16125" max="16125" width="17" customWidth="1"/>
    <col min="16126" max="16126" width="15.7109375" customWidth="1"/>
    <col min="16127" max="16128" width="17.42578125" customWidth="1"/>
    <col min="16129" max="16129" width="17.140625" customWidth="1"/>
    <col min="16130" max="16130" width="13.5703125" customWidth="1"/>
    <col min="16131" max="16131" width="13" customWidth="1"/>
  </cols>
  <sheetData>
    <row r="1" spans="1:11">
      <c r="A1" s="3" t="s">
        <v>0</v>
      </c>
      <c r="B1" s="3" t="s">
        <v>2</v>
      </c>
      <c r="C1" s="3" t="s">
        <v>1</v>
      </c>
      <c r="D1" s="3" t="s">
        <v>4</v>
      </c>
      <c r="E1" s="3" t="s">
        <v>6</v>
      </c>
      <c r="F1" s="3" t="s">
        <v>5</v>
      </c>
      <c r="G1" s="3" t="s">
        <v>3</v>
      </c>
      <c r="H1" s="3" t="s">
        <v>7</v>
      </c>
      <c r="I1" s="3" t="s">
        <v>17</v>
      </c>
      <c r="J1" s="3" t="s">
        <v>18</v>
      </c>
      <c r="K1" s="2" t="s">
        <v>9</v>
      </c>
    </row>
    <row r="2" spans="1:11">
      <c r="A2" s="4" t="s">
        <v>21</v>
      </c>
      <c r="B2" s="10" t="s">
        <v>31</v>
      </c>
      <c r="C2" s="7">
        <v>46199</v>
      </c>
      <c r="D2" s="11">
        <v>57.59</v>
      </c>
      <c r="E2" s="10"/>
      <c r="F2" s="10"/>
      <c r="G2" s="10"/>
      <c r="H2" s="7">
        <v>46205</v>
      </c>
      <c r="I2" s="11">
        <v>57.59</v>
      </c>
      <c r="J2" s="6"/>
      <c r="K2" t="str">
        <f>IF(A2&gt;0,VLOOKUP(A2,טבלאות!$A:$B,2,0),"")</f>
        <v>אשראי אורנה</v>
      </c>
    </row>
    <row r="3" spans="1:11">
      <c r="A3" s="4" t="s">
        <v>21</v>
      </c>
      <c r="B3" s="10" t="s">
        <v>26</v>
      </c>
      <c r="C3" s="7">
        <v>46197</v>
      </c>
      <c r="D3" s="11">
        <v>15.28</v>
      </c>
      <c r="E3" s="10"/>
      <c r="F3" s="10"/>
      <c r="G3" s="10"/>
      <c r="H3" s="7">
        <v>46205</v>
      </c>
      <c r="I3" s="11">
        <v>15.28</v>
      </c>
      <c r="J3" s="6"/>
      <c r="K3" t="str">
        <f>IF(A3&gt;0,VLOOKUP(A3,טבלאות!$A:$B,2,0),"")</f>
        <v>אשראי אורנה</v>
      </c>
    </row>
    <row r="4" spans="1:11">
      <c r="A4" s="4" t="s">
        <v>21</v>
      </c>
      <c r="B4" s="10" t="s">
        <v>49</v>
      </c>
      <c r="C4" s="7">
        <v>46196</v>
      </c>
      <c r="D4" s="11">
        <v>495.15</v>
      </c>
      <c r="E4" s="10"/>
      <c r="F4" s="10"/>
      <c r="G4" s="10"/>
      <c r="H4" s="7">
        <v>46205</v>
      </c>
      <c r="I4" s="11">
        <v>495.15</v>
      </c>
      <c r="J4" s="6"/>
      <c r="K4" t="str">
        <f>IF(A4&gt;0,VLOOKUP(A4,טבלאות!$A:$B,2,0),"")</f>
        <v>אשראי אורנה</v>
      </c>
    </row>
    <row r="5" spans="1:11">
      <c r="A5" s="4" t="s">
        <v>21</v>
      </c>
      <c r="B5" s="10" t="s">
        <v>55</v>
      </c>
      <c r="C5" s="7">
        <v>46195</v>
      </c>
      <c r="D5" s="11">
        <v>228.27</v>
      </c>
      <c r="E5" s="10"/>
      <c r="F5" s="10"/>
      <c r="G5" s="10"/>
      <c r="H5" s="7">
        <v>46205</v>
      </c>
      <c r="I5" s="11">
        <v>228.27</v>
      </c>
      <c r="K5" t="str">
        <f>IF(A5&gt;0,VLOOKUP(A5,טבלאות!$A:$B,2,0),"")</f>
        <v>אשראי אורנה</v>
      </c>
    </row>
    <row r="6" spans="1:11">
      <c r="A6" s="4" t="s">
        <v>21</v>
      </c>
      <c r="B6" s="10" t="s">
        <v>53</v>
      </c>
      <c r="C6" s="7">
        <v>46194</v>
      </c>
      <c r="D6" s="11">
        <v>12.25</v>
      </c>
      <c r="E6" s="10"/>
      <c r="F6" s="10"/>
      <c r="G6" s="10"/>
      <c r="H6" s="7">
        <v>46205</v>
      </c>
      <c r="I6" s="11">
        <v>12.25</v>
      </c>
      <c r="K6" t="str">
        <f>IF(A6&gt;0,VLOOKUP(A6,טבלאות!$A:$B,2,0),"")</f>
        <v>אשראי אורנה</v>
      </c>
    </row>
    <row r="7" spans="1:11">
      <c r="A7" s="4" t="s">
        <v>21</v>
      </c>
      <c r="B7" s="10" t="s">
        <v>56</v>
      </c>
      <c r="C7" s="7">
        <v>46194</v>
      </c>
      <c r="D7" s="13">
        <v>100.8</v>
      </c>
      <c r="E7" s="10"/>
      <c r="F7" s="10"/>
      <c r="G7" s="10"/>
      <c r="H7" s="7">
        <v>46205</v>
      </c>
      <c r="I7" s="11">
        <v>100.8</v>
      </c>
      <c r="K7" t="str">
        <f>IF(A7&gt;0,VLOOKUP(A7,טבלאות!$A:$B,2,0),"")</f>
        <v>אשראי אורנה</v>
      </c>
    </row>
    <row r="8" spans="1:11">
      <c r="A8" s="4" t="s">
        <v>21</v>
      </c>
      <c r="B8" s="10" t="s">
        <v>34</v>
      </c>
      <c r="C8" s="7">
        <v>46193</v>
      </c>
      <c r="D8" s="9">
        <v>169.84</v>
      </c>
      <c r="E8" s="8"/>
      <c r="F8" s="8"/>
      <c r="G8" s="8"/>
      <c r="H8" s="7">
        <v>46205</v>
      </c>
      <c r="I8" s="9">
        <v>169.84</v>
      </c>
      <c r="K8" t="str">
        <f>IF(A8&gt;0,VLOOKUP(A8,טבלאות!$A:$B,2,0),"")</f>
        <v>אשראי אורנה</v>
      </c>
    </row>
    <row r="9" spans="1:11">
      <c r="A9" s="4" t="s">
        <v>21</v>
      </c>
      <c r="B9" s="10" t="s">
        <v>36</v>
      </c>
      <c r="C9" s="7">
        <v>46188</v>
      </c>
      <c r="D9" s="9">
        <v>350</v>
      </c>
      <c r="E9" s="8"/>
      <c r="F9" s="8"/>
      <c r="G9" s="8"/>
      <c r="H9" s="7">
        <v>46205</v>
      </c>
      <c r="I9" s="9">
        <v>350</v>
      </c>
      <c r="K9" t="str">
        <f>IF(A9&gt;0,VLOOKUP(A9,טבלאות!$A:$B,2,0),"")</f>
        <v>אשראי אורנה</v>
      </c>
    </row>
    <row r="10" spans="1:11">
      <c r="A10" s="4" t="s">
        <v>21</v>
      </c>
      <c r="B10" s="10" t="s">
        <v>57</v>
      </c>
      <c r="C10" s="7">
        <v>46188</v>
      </c>
      <c r="D10" s="9">
        <v>229</v>
      </c>
      <c r="E10" s="8"/>
      <c r="F10" s="8"/>
      <c r="G10" s="8"/>
      <c r="H10" s="7">
        <v>46205</v>
      </c>
      <c r="I10" s="9">
        <v>229</v>
      </c>
      <c r="K10" t="str">
        <f>IF(A10&gt;0,VLOOKUP(A10,טבלאות!$A:$B,2,0),"")</f>
        <v>אשראי אורנה</v>
      </c>
    </row>
    <row r="11" spans="1:11">
      <c r="A11" s="4" t="s">
        <v>21</v>
      </c>
      <c r="B11" s="10" t="s">
        <v>55</v>
      </c>
      <c r="C11" s="7">
        <v>46187</v>
      </c>
      <c r="D11" s="9">
        <v>242.23</v>
      </c>
      <c r="E11" s="8"/>
      <c r="F11" s="8"/>
      <c r="G11" s="8"/>
      <c r="H11" s="7">
        <v>46205</v>
      </c>
      <c r="I11" s="9">
        <v>242.23</v>
      </c>
      <c r="K11" t="str">
        <f>IF(A11&gt;0,VLOOKUP(A11,טבלאות!$A:$B,2,0),"")</f>
        <v>אשראי אורנה</v>
      </c>
    </row>
    <row r="12" spans="1:11">
      <c r="A12" s="4" t="s">
        <v>21</v>
      </c>
      <c r="B12" s="10" t="s">
        <v>53</v>
      </c>
      <c r="C12" s="7">
        <v>46181</v>
      </c>
      <c r="D12" s="9">
        <v>57.6</v>
      </c>
      <c r="E12" s="8"/>
      <c r="F12" s="8"/>
      <c r="G12" s="8"/>
      <c r="H12" s="7">
        <v>46205</v>
      </c>
      <c r="I12" s="9">
        <v>57.6</v>
      </c>
      <c r="K12" t="str">
        <f>IF(A12&gt;0,VLOOKUP(A12,טבלאות!$A:$B,2,0),"")</f>
        <v>אשראי אורנה</v>
      </c>
    </row>
    <row r="13" spans="1:11">
      <c r="A13" s="4" t="s">
        <v>21</v>
      </c>
      <c r="B13" s="10" t="s">
        <v>26</v>
      </c>
      <c r="C13" s="7">
        <v>46181</v>
      </c>
      <c r="D13" s="9">
        <v>50.5</v>
      </c>
      <c r="E13" s="8"/>
      <c r="F13" s="8"/>
      <c r="G13" s="8"/>
      <c r="H13" s="7">
        <v>46205</v>
      </c>
      <c r="I13" s="9">
        <v>50.5</v>
      </c>
      <c r="K13" t="str">
        <f>IF(A13&gt;0,VLOOKUP(A13,טבלאות!$A:$B,2,0),"")</f>
        <v>אשראי אורנה</v>
      </c>
    </row>
    <row r="14" spans="1:11">
      <c r="A14" s="4" t="s">
        <v>21</v>
      </c>
      <c r="B14" s="10" t="s">
        <v>53</v>
      </c>
      <c r="C14" s="7">
        <v>46180</v>
      </c>
      <c r="D14" s="12">
        <v>11.9</v>
      </c>
      <c r="E14" s="8"/>
      <c r="F14" s="8"/>
      <c r="G14" s="8"/>
      <c r="H14" s="7">
        <v>46205</v>
      </c>
      <c r="I14" s="9">
        <v>11.9</v>
      </c>
      <c r="K14" t="str">
        <f>IF(A14&gt;0,VLOOKUP(A14,טבלאות!$A:$B,2,0),"")</f>
        <v>אשראי אורנה</v>
      </c>
    </row>
    <row r="15" spans="1:11">
      <c r="A15" s="4" t="s">
        <v>21</v>
      </c>
      <c r="B15" s="10" t="s">
        <v>42</v>
      </c>
      <c r="C15" s="7">
        <v>46180</v>
      </c>
      <c r="D15" s="9">
        <v>390</v>
      </c>
      <c r="E15" s="8"/>
      <c r="F15" s="8"/>
      <c r="G15" s="8"/>
      <c r="H15" s="7">
        <v>46205</v>
      </c>
      <c r="I15" s="9">
        <v>390</v>
      </c>
      <c r="K15" t="str">
        <f>IF(A15&gt;0,VLOOKUP(A15,טבלאות!$A:$B,2,0),"")</f>
        <v>אשראי אורנה</v>
      </c>
    </row>
    <row r="16" spans="1:11">
      <c r="A16" s="4" t="s">
        <v>21</v>
      </c>
      <c r="B16" s="10" t="s">
        <v>42</v>
      </c>
      <c r="C16" s="7">
        <v>46175</v>
      </c>
      <c r="D16" s="9">
        <v>130</v>
      </c>
      <c r="E16" s="8"/>
      <c r="F16" s="8"/>
      <c r="G16" s="8"/>
      <c r="H16" s="7">
        <v>46205</v>
      </c>
      <c r="I16" s="9">
        <v>130</v>
      </c>
      <c r="K16" t="str">
        <f>IF(A16&gt;0,VLOOKUP(A16,טבלאות!$A:$B,2,0),"")</f>
        <v>אשראי אורנה</v>
      </c>
    </row>
    <row r="17" spans="1:11">
      <c r="A17" s="4" t="s">
        <v>21</v>
      </c>
      <c r="B17" s="10" t="s">
        <v>42</v>
      </c>
      <c r="C17" s="7">
        <v>46175</v>
      </c>
      <c r="D17" s="12">
        <v>100</v>
      </c>
      <c r="E17" s="8"/>
      <c r="F17" s="8"/>
      <c r="G17" s="8"/>
      <c r="H17" s="7">
        <v>46205</v>
      </c>
      <c r="I17" s="9">
        <v>100</v>
      </c>
      <c r="K17" t="str">
        <f>IF(A17&gt;0,VLOOKUP(A17,טבלאות!$A:$B,2,0),"")</f>
        <v>אשראי אורנה</v>
      </c>
    </row>
    <row r="18" spans="1:11">
      <c r="A18" s="4" t="s">
        <v>21</v>
      </c>
      <c r="B18" s="10" t="s">
        <v>58</v>
      </c>
      <c r="C18" s="7">
        <v>46175</v>
      </c>
      <c r="D18" s="9">
        <v>210</v>
      </c>
      <c r="E18" s="8"/>
      <c r="F18" s="8"/>
      <c r="G18" s="8"/>
      <c r="H18" s="7">
        <v>46205</v>
      </c>
      <c r="I18" s="9">
        <v>210</v>
      </c>
      <c r="K18" t="str">
        <f>IF(A18&gt;0,VLOOKUP(A18,טבלאות!$A:$B,2,0),"")</f>
        <v>אשראי אורנה</v>
      </c>
    </row>
    <row r="19" spans="1:11">
      <c r="A19" s="4" t="s">
        <v>21</v>
      </c>
      <c r="B19" s="10" t="s">
        <v>55</v>
      </c>
      <c r="C19" s="7">
        <v>46174</v>
      </c>
      <c r="D19" s="9">
        <v>265.33999999999997</v>
      </c>
      <c r="E19" s="8"/>
      <c r="F19" s="8"/>
      <c r="G19" s="8"/>
      <c r="H19" s="7">
        <v>46205</v>
      </c>
      <c r="I19" s="9">
        <v>265.33999999999997</v>
      </c>
      <c r="K19" t="str">
        <f>IF(A19&gt;0,VLOOKUP(A19,טבלאות!$A:$B,2,0),"")</f>
        <v>אשראי אורנה</v>
      </c>
    </row>
    <row r="20" spans="1:11">
      <c r="A20" s="4" t="s">
        <v>21</v>
      </c>
      <c r="B20" s="10" t="s">
        <v>37</v>
      </c>
      <c r="C20" s="7">
        <v>46174</v>
      </c>
      <c r="D20" s="9">
        <v>30</v>
      </c>
      <c r="E20" s="8"/>
      <c r="F20" s="8"/>
      <c r="G20" s="8"/>
      <c r="H20" s="7">
        <v>46205</v>
      </c>
      <c r="I20" s="9">
        <v>30</v>
      </c>
      <c r="K20" t="str">
        <f>IF(A20&gt;0,VLOOKUP(A20,טבלאות!$A:$B,2,0),"")</f>
        <v>אשראי אורנה</v>
      </c>
    </row>
    <row r="21" spans="1:11">
      <c r="A21" t="s">
        <v>38</v>
      </c>
      <c r="B21" s="10" t="s">
        <v>59</v>
      </c>
      <c r="C21" s="7">
        <v>46173</v>
      </c>
      <c r="D21" s="16">
        <v>32</v>
      </c>
      <c r="E21" s="8"/>
      <c r="F21" s="8"/>
      <c r="G21" s="8"/>
      <c r="H21" s="7">
        <v>46205</v>
      </c>
      <c r="I21" s="9">
        <v>106.85</v>
      </c>
      <c r="K21" t="str">
        <f>IF(A21&gt;0,VLOOKUP(A21,טבלאות!$A:$B,2,0),"")</f>
        <v>הסתדרות - פלטינה מסטרקארד</v>
      </c>
    </row>
    <row r="22" spans="1:11">
      <c r="A22" t="s">
        <v>38</v>
      </c>
      <c r="B22" s="10" t="s">
        <v>60</v>
      </c>
      <c r="C22" s="7">
        <v>46173</v>
      </c>
      <c r="D22" s="16">
        <v>150</v>
      </c>
      <c r="H22" s="7">
        <v>46205</v>
      </c>
      <c r="I22" s="9">
        <v>500.87</v>
      </c>
      <c r="K22" t="str">
        <f>IF(A22&gt;0,VLOOKUP(A22,טבלאות!$A:$B,2,0),"")</f>
        <v>הסתדרות - פלטינה מסטרקארד</v>
      </c>
    </row>
    <row r="23" spans="1:11">
      <c r="A23" t="s">
        <v>38</v>
      </c>
      <c r="B23" s="10" t="s">
        <v>61</v>
      </c>
      <c r="C23" s="7">
        <v>46171</v>
      </c>
      <c r="D23" s="9">
        <v>375.1</v>
      </c>
      <c r="H23" s="7">
        <v>46205</v>
      </c>
      <c r="I23" s="9">
        <v>375.1</v>
      </c>
      <c r="K23" t="str">
        <f>IF(A23&gt;0,VLOOKUP(A23,טבלאות!$A:$B,2,0),"")</f>
        <v>הסתדרות - פלטינה מסטרקארד</v>
      </c>
    </row>
    <row r="24" spans="1:11">
      <c r="A24" t="s">
        <v>19</v>
      </c>
      <c r="B24" s="10" t="s">
        <v>62</v>
      </c>
      <c r="C24" s="7">
        <v>46184</v>
      </c>
      <c r="D24" s="15">
        <v>160.16</v>
      </c>
      <c r="E24" s="14"/>
      <c r="F24" s="14"/>
      <c r="G24" s="14"/>
      <c r="H24" s="7">
        <v>46205</v>
      </c>
      <c r="I24" s="15">
        <v>160.16</v>
      </c>
      <c r="K24" t="str">
        <f>IF(A24&gt;0,VLOOKUP(A24,טבלאות!$A:$B,2,0),"")</f>
        <v>טוב</v>
      </c>
    </row>
    <row r="25" spans="1:11">
      <c r="A25" t="s">
        <v>19</v>
      </c>
      <c r="B25" s="10" t="s">
        <v>62</v>
      </c>
      <c r="C25" s="7">
        <v>46184</v>
      </c>
      <c r="D25" s="15">
        <v>156.07</v>
      </c>
      <c r="E25" s="14"/>
      <c r="F25" s="14"/>
      <c r="G25" s="14"/>
      <c r="H25" s="7">
        <v>46205</v>
      </c>
      <c r="I25" s="15">
        <v>156.07</v>
      </c>
      <c r="K25" t="str">
        <f>IF(A25&gt;0,VLOOKUP(A25,טבלאות!$A:$B,2,0),"")</f>
        <v>טוב</v>
      </c>
    </row>
    <row r="26" spans="1:11">
      <c r="A26" t="s">
        <v>19</v>
      </c>
      <c r="B26" s="10" t="s">
        <v>62</v>
      </c>
      <c r="C26" s="7">
        <v>46184</v>
      </c>
      <c r="D26" s="15">
        <v>61.91</v>
      </c>
      <c r="E26" s="14"/>
      <c r="F26" s="14"/>
      <c r="G26" s="14"/>
      <c r="H26" s="7">
        <v>46205</v>
      </c>
      <c r="I26" s="15">
        <v>61.91</v>
      </c>
      <c r="K26" t="str">
        <f>IF(A26&gt;0,VLOOKUP(A26,טבלאות!$A:$B,2,0),"")</f>
        <v>טוב</v>
      </c>
    </row>
    <row r="27" spans="1:11">
      <c r="A27" t="s">
        <v>19</v>
      </c>
      <c r="B27" s="10" t="s">
        <v>62</v>
      </c>
      <c r="C27" s="7">
        <v>46184</v>
      </c>
      <c r="D27" s="15">
        <v>61.91</v>
      </c>
      <c r="E27" s="14"/>
      <c r="F27" s="14"/>
      <c r="G27" s="14"/>
      <c r="H27" s="7">
        <v>46205</v>
      </c>
      <c r="I27" s="15">
        <v>61.91</v>
      </c>
      <c r="K27" t="str">
        <f>IF(A27&gt;0,VLOOKUP(A27,טבלאות!$A:$B,2,0),"")</f>
        <v>טוב</v>
      </c>
    </row>
    <row r="28" spans="1:11">
      <c r="A28" t="s">
        <v>19</v>
      </c>
      <c r="B28" s="10" t="s">
        <v>62</v>
      </c>
      <c r="C28" s="7">
        <v>46184</v>
      </c>
      <c r="D28" s="15">
        <v>124.52</v>
      </c>
      <c r="E28" s="14"/>
      <c r="F28" s="14"/>
      <c r="G28" s="14"/>
      <c r="H28" s="7">
        <v>46205</v>
      </c>
      <c r="I28" s="15">
        <v>124.52</v>
      </c>
      <c r="K28" t="str">
        <f>IF(A28&gt;0,VLOOKUP(A28,טבלאות!$A:$B,2,0),"")</f>
        <v>טוב</v>
      </c>
    </row>
    <row r="29" spans="1:11">
      <c r="A29" t="s">
        <v>19</v>
      </c>
      <c r="B29" s="10" t="s">
        <v>63</v>
      </c>
      <c r="C29" s="7">
        <v>46194</v>
      </c>
      <c r="D29" s="15">
        <v>98</v>
      </c>
      <c r="H29" s="7">
        <v>46205</v>
      </c>
      <c r="I29" s="15">
        <v>98</v>
      </c>
      <c r="K29" t="str">
        <f>IF(A29&gt;0,VLOOKUP(A29,טבלאות!$A:$B,2,0),"")</f>
        <v>טוב</v>
      </c>
    </row>
    <row r="30" spans="1:11">
      <c r="A30" t="s">
        <v>19</v>
      </c>
      <c r="B30" s="10" t="s">
        <v>63</v>
      </c>
      <c r="C30" s="7">
        <v>46194</v>
      </c>
      <c r="D30" s="9">
        <v>49</v>
      </c>
      <c r="H30" s="7">
        <v>46205</v>
      </c>
      <c r="I30" s="9">
        <v>49</v>
      </c>
      <c r="K30" t="str">
        <f>IF(A30&gt;0,VLOOKUP(A30,טבלאות!$A:$B,2,0),"")</f>
        <v>טוב</v>
      </c>
    </row>
    <row r="31" spans="1:11">
      <c r="A31" t="s">
        <v>19</v>
      </c>
      <c r="B31" s="10" t="s">
        <v>63</v>
      </c>
      <c r="C31" s="7">
        <v>46198</v>
      </c>
      <c r="D31" s="9">
        <v>79</v>
      </c>
      <c r="H31" s="7">
        <v>46205</v>
      </c>
      <c r="I31" s="9">
        <v>79</v>
      </c>
      <c r="K31" t="str">
        <f>IF(A31&gt;0,VLOOKUP(A31,טבלאות!$A:$B,2,0),"")</f>
        <v>טוב</v>
      </c>
    </row>
    <row r="32" spans="1:11">
      <c r="A32" s="5" t="s">
        <v>23</v>
      </c>
      <c r="B32" t="s">
        <v>52</v>
      </c>
      <c r="C32" s="7">
        <v>46203</v>
      </c>
      <c r="D32" s="9">
        <v>707.75</v>
      </c>
      <c r="H32" s="7">
        <v>46205</v>
      </c>
      <c r="I32" s="9">
        <v>707.75</v>
      </c>
    </row>
    <row r="33" spans="1:11">
      <c r="A33" s="5" t="s">
        <v>23</v>
      </c>
      <c r="B33" t="s">
        <v>24</v>
      </c>
      <c r="C33" s="7">
        <v>46203</v>
      </c>
      <c r="D33" s="9">
        <v>37</v>
      </c>
      <c r="H33" s="7">
        <v>46205</v>
      </c>
      <c r="I33" s="9">
        <v>37</v>
      </c>
    </row>
    <row r="34" spans="1:11">
      <c r="A34" s="5" t="s">
        <v>23</v>
      </c>
      <c r="B34" t="s">
        <v>25</v>
      </c>
      <c r="C34" s="7">
        <v>46203</v>
      </c>
      <c r="D34" s="9">
        <v>69.900000000000006</v>
      </c>
      <c r="H34" s="7">
        <v>46205</v>
      </c>
      <c r="I34" s="9">
        <v>69.900000000000006</v>
      </c>
      <c r="K34" t="str">
        <f>IF(A34&gt;0,VLOOKUP(A34,טבלאות!$A:$B,2,0),"")</f>
        <v>אשראי מיכה</v>
      </c>
    </row>
    <row r="35" spans="1:11">
      <c r="A35" s="5" t="s">
        <v>23</v>
      </c>
      <c r="B35" t="s">
        <v>53</v>
      </c>
      <c r="C35" s="7">
        <v>46202</v>
      </c>
      <c r="D35" s="9">
        <v>7.42</v>
      </c>
      <c r="H35" s="7">
        <v>46205</v>
      </c>
      <c r="I35" s="9">
        <v>7.42</v>
      </c>
      <c r="K35" t="str">
        <f>IF(A35&gt;0,VLOOKUP(A35,טבלאות!$A:$B,2,0),"")</f>
        <v>אשראי מיכה</v>
      </c>
    </row>
    <row r="36" spans="1:11">
      <c r="A36" s="5" t="s">
        <v>23</v>
      </c>
      <c r="B36" t="s">
        <v>27</v>
      </c>
      <c r="C36" s="7">
        <v>46202</v>
      </c>
      <c r="D36" s="9">
        <v>131.80000000000001</v>
      </c>
      <c r="H36" s="7">
        <v>46205</v>
      </c>
      <c r="I36" s="9">
        <v>131.80000000000001</v>
      </c>
    </row>
    <row r="37" spans="1:11">
      <c r="A37" s="5" t="s">
        <v>23</v>
      </c>
      <c r="B37" t="s">
        <v>51</v>
      </c>
      <c r="C37" s="7">
        <v>46201</v>
      </c>
      <c r="D37" s="9">
        <v>108.8</v>
      </c>
      <c r="H37" s="7">
        <v>46205</v>
      </c>
      <c r="I37" s="9">
        <v>108.8</v>
      </c>
    </row>
    <row r="38" spans="1:11">
      <c r="A38" s="5" t="s">
        <v>23</v>
      </c>
      <c r="B38" t="s">
        <v>30</v>
      </c>
      <c r="C38" s="7">
        <v>46201</v>
      </c>
      <c r="D38" s="9">
        <v>72</v>
      </c>
      <c r="H38" s="7">
        <v>46205</v>
      </c>
      <c r="I38" s="9">
        <v>72</v>
      </c>
    </row>
    <row r="39" spans="1:11">
      <c r="A39" s="5" t="s">
        <v>23</v>
      </c>
      <c r="B39" t="s">
        <v>45</v>
      </c>
      <c r="C39" s="7">
        <v>46201</v>
      </c>
      <c r="D39" s="9">
        <v>90</v>
      </c>
      <c r="H39" s="7">
        <v>46205</v>
      </c>
      <c r="I39" s="9">
        <v>90</v>
      </c>
    </row>
    <row r="40" spans="1:11">
      <c r="A40" s="5" t="s">
        <v>23</v>
      </c>
      <c r="B40" t="s">
        <v>64</v>
      </c>
      <c r="C40" s="7">
        <v>46201</v>
      </c>
      <c r="D40" s="9">
        <v>55.07</v>
      </c>
      <c r="H40" s="7">
        <v>46205</v>
      </c>
      <c r="I40" s="9">
        <v>55.07</v>
      </c>
    </row>
    <row r="41" spans="1:11">
      <c r="A41" s="5" t="s">
        <v>23</v>
      </c>
      <c r="B41" t="s">
        <v>29</v>
      </c>
      <c r="C41" s="7">
        <v>46198</v>
      </c>
      <c r="D41" s="9">
        <v>386.28</v>
      </c>
      <c r="H41" s="7">
        <v>46205</v>
      </c>
      <c r="I41" s="9">
        <v>386.28</v>
      </c>
    </row>
    <row r="42" spans="1:11">
      <c r="A42" s="5" t="s">
        <v>23</v>
      </c>
      <c r="B42" t="s">
        <v>65</v>
      </c>
      <c r="C42" s="7">
        <v>46198</v>
      </c>
      <c r="D42" s="9">
        <v>3</v>
      </c>
      <c r="H42" s="7">
        <v>46205</v>
      </c>
      <c r="I42" s="9">
        <v>3</v>
      </c>
    </row>
    <row r="43" spans="1:11">
      <c r="A43" s="5" t="s">
        <v>23</v>
      </c>
      <c r="B43" t="s">
        <v>50</v>
      </c>
      <c r="C43" s="7">
        <v>46198</v>
      </c>
      <c r="D43" s="9">
        <v>27.93</v>
      </c>
      <c r="H43" s="7">
        <v>46205</v>
      </c>
      <c r="I43" s="9">
        <v>27.93</v>
      </c>
    </row>
    <row r="44" spans="1:11">
      <c r="A44" s="5" t="s">
        <v>23</v>
      </c>
      <c r="B44" t="s">
        <v>66</v>
      </c>
      <c r="C44" s="7">
        <v>46198</v>
      </c>
      <c r="D44" s="9">
        <v>36.4</v>
      </c>
      <c r="H44" s="7">
        <v>46205</v>
      </c>
      <c r="I44" s="9">
        <v>36.4</v>
      </c>
    </row>
    <row r="45" spans="1:11">
      <c r="A45" s="5" t="s">
        <v>23</v>
      </c>
      <c r="B45" t="s">
        <v>52</v>
      </c>
      <c r="C45" s="7">
        <v>46197</v>
      </c>
      <c r="D45" s="9">
        <v>870.52</v>
      </c>
      <c r="H45" s="7">
        <v>46205</v>
      </c>
      <c r="I45" s="9">
        <v>870.52</v>
      </c>
    </row>
    <row r="46" spans="1:11">
      <c r="A46" s="5" t="s">
        <v>23</v>
      </c>
      <c r="B46" t="s">
        <v>67</v>
      </c>
      <c r="C46" s="7">
        <v>46197</v>
      </c>
      <c r="D46" s="9">
        <v>56.68</v>
      </c>
      <c r="H46" s="7">
        <v>46205</v>
      </c>
      <c r="I46" s="9">
        <v>56.68</v>
      </c>
    </row>
    <row r="47" spans="1:11">
      <c r="A47" s="5" t="s">
        <v>23</v>
      </c>
      <c r="B47" t="s">
        <v>43</v>
      </c>
      <c r="C47" s="7">
        <v>46197</v>
      </c>
      <c r="D47" s="9">
        <v>32.5</v>
      </c>
      <c r="H47" s="7">
        <v>46205</v>
      </c>
      <c r="I47" s="9">
        <v>32.5</v>
      </c>
    </row>
    <row r="48" spans="1:11">
      <c r="A48" s="5" t="s">
        <v>23</v>
      </c>
      <c r="B48" t="s">
        <v>33</v>
      </c>
      <c r="C48" s="7">
        <v>46196</v>
      </c>
      <c r="D48" s="9">
        <v>129.72</v>
      </c>
      <c r="H48" s="7">
        <v>46205</v>
      </c>
      <c r="I48" s="9">
        <v>129.72</v>
      </c>
    </row>
    <row r="49" spans="1:9">
      <c r="A49" s="5" t="s">
        <v>23</v>
      </c>
      <c r="B49" t="s">
        <v>32</v>
      </c>
      <c r="C49" s="7">
        <v>46196</v>
      </c>
      <c r="D49" s="9">
        <v>70.72</v>
      </c>
      <c r="H49" s="7">
        <v>46205</v>
      </c>
      <c r="I49" s="9">
        <v>70.72</v>
      </c>
    </row>
    <row r="50" spans="1:9">
      <c r="A50" s="5" t="s">
        <v>23</v>
      </c>
      <c r="B50" t="s">
        <v>68</v>
      </c>
      <c r="C50" s="7">
        <v>46196</v>
      </c>
      <c r="D50" s="9">
        <v>39</v>
      </c>
      <c r="H50" s="7">
        <v>46205</v>
      </c>
      <c r="I50" s="9">
        <v>39</v>
      </c>
    </row>
    <row r="51" spans="1:9">
      <c r="A51" s="5" t="s">
        <v>23</v>
      </c>
      <c r="B51" t="s">
        <v>30</v>
      </c>
      <c r="C51" s="7">
        <v>46195</v>
      </c>
      <c r="D51" s="9">
        <v>72</v>
      </c>
      <c r="H51" s="7">
        <v>46205</v>
      </c>
      <c r="I51" s="9">
        <v>72</v>
      </c>
    </row>
    <row r="52" spans="1:9">
      <c r="A52" s="5" t="s">
        <v>23</v>
      </c>
      <c r="B52" t="s">
        <v>52</v>
      </c>
      <c r="C52" s="7">
        <v>46195</v>
      </c>
      <c r="D52" s="9">
        <v>195.03</v>
      </c>
      <c r="H52" s="7">
        <v>46205</v>
      </c>
      <c r="I52" s="9">
        <v>195.03</v>
      </c>
    </row>
    <row r="53" spans="1:9">
      <c r="A53" s="5" t="s">
        <v>23</v>
      </c>
      <c r="B53" t="s">
        <v>47</v>
      </c>
      <c r="C53" s="7">
        <v>46194</v>
      </c>
      <c r="D53" s="9">
        <v>18.25</v>
      </c>
      <c r="H53" s="7">
        <v>46205</v>
      </c>
      <c r="I53" s="9">
        <v>18.25</v>
      </c>
    </row>
    <row r="54" spans="1:9">
      <c r="A54" s="5" t="s">
        <v>23</v>
      </c>
      <c r="B54" t="s">
        <v>46</v>
      </c>
      <c r="C54" s="7">
        <v>46194</v>
      </c>
      <c r="D54" s="9">
        <v>105</v>
      </c>
      <c r="H54" s="7">
        <v>46205</v>
      </c>
      <c r="I54" s="9">
        <v>105</v>
      </c>
    </row>
    <row r="55" spans="1:9">
      <c r="A55" s="5" t="s">
        <v>23</v>
      </c>
      <c r="B55" t="s">
        <v>45</v>
      </c>
      <c r="C55" s="7">
        <v>46194</v>
      </c>
      <c r="D55" s="9">
        <v>90</v>
      </c>
      <c r="H55" s="7">
        <v>46205</v>
      </c>
      <c r="I55" s="9">
        <v>90</v>
      </c>
    </row>
    <row r="56" spans="1:9">
      <c r="A56" s="5" t="s">
        <v>23</v>
      </c>
      <c r="B56" t="s">
        <v>43</v>
      </c>
      <c r="C56" s="7">
        <v>46192</v>
      </c>
      <c r="D56" s="9">
        <v>50</v>
      </c>
      <c r="H56" s="7">
        <v>46205</v>
      </c>
      <c r="I56" s="9">
        <v>50</v>
      </c>
    </row>
    <row r="57" spans="1:9">
      <c r="A57" s="5" t="s">
        <v>23</v>
      </c>
      <c r="B57" t="s">
        <v>69</v>
      </c>
      <c r="C57" s="7">
        <v>46192</v>
      </c>
      <c r="D57" s="9">
        <v>33</v>
      </c>
      <c r="H57" s="7">
        <v>46205</v>
      </c>
      <c r="I57" s="9">
        <v>33</v>
      </c>
    </row>
    <row r="58" spans="1:9">
      <c r="A58" s="5" t="s">
        <v>23</v>
      </c>
      <c r="B58" t="s">
        <v>70</v>
      </c>
      <c r="C58" s="7">
        <v>46192</v>
      </c>
      <c r="D58" s="9">
        <v>58.8</v>
      </c>
      <c r="H58" s="7">
        <v>46205</v>
      </c>
      <c r="I58" s="9">
        <v>58.8</v>
      </c>
    </row>
    <row r="59" spans="1:9">
      <c r="A59" s="5" t="s">
        <v>23</v>
      </c>
      <c r="B59" t="s">
        <v>71</v>
      </c>
      <c r="C59" s="7">
        <v>46192</v>
      </c>
      <c r="D59" s="9">
        <v>89.9</v>
      </c>
      <c r="H59" s="7">
        <v>46205</v>
      </c>
      <c r="I59" s="9">
        <v>89.9</v>
      </c>
    </row>
    <row r="60" spans="1:9">
      <c r="A60" s="5" t="s">
        <v>23</v>
      </c>
      <c r="B60" t="s">
        <v>72</v>
      </c>
      <c r="C60" s="7">
        <v>46192</v>
      </c>
      <c r="D60" s="9">
        <v>36</v>
      </c>
      <c r="H60" s="7">
        <v>46205</v>
      </c>
      <c r="I60" s="9">
        <v>36</v>
      </c>
    </row>
    <row r="61" spans="1:9">
      <c r="A61" s="5" t="s">
        <v>23</v>
      </c>
      <c r="B61" t="s">
        <v>52</v>
      </c>
      <c r="C61" s="7">
        <v>46191</v>
      </c>
      <c r="D61" s="9">
        <v>240.6</v>
      </c>
      <c r="H61" s="7">
        <v>46205</v>
      </c>
      <c r="I61" s="9">
        <v>240.6</v>
      </c>
    </row>
    <row r="62" spans="1:9">
      <c r="A62" s="5" t="s">
        <v>23</v>
      </c>
      <c r="B62" t="s">
        <v>44</v>
      </c>
      <c r="C62" s="7">
        <v>46191</v>
      </c>
      <c r="D62" s="9">
        <v>100.69</v>
      </c>
      <c r="H62" s="7">
        <v>46205</v>
      </c>
      <c r="I62" s="9">
        <v>100.69</v>
      </c>
    </row>
    <row r="63" spans="1:9">
      <c r="A63" s="5" t="s">
        <v>23</v>
      </c>
      <c r="B63" t="s">
        <v>35</v>
      </c>
      <c r="C63" s="7">
        <v>46190</v>
      </c>
      <c r="D63" s="9">
        <v>60.83</v>
      </c>
      <c r="H63" s="7">
        <v>46205</v>
      </c>
      <c r="I63" s="9">
        <v>60.83</v>
      </c>
    </row>
    <row r="64" spans="1:9">
      <c r="A64" s="5" t="s">
        <v>23</v>
      </c>
      <c r="B64" t="s">
        <v>51</v>
      </c>
      <c r="C64" s="7">
        <v>46189</v>
      </c>
      <c r="D64" s="9">
        <v>58.86</v>
      </c>
      <c r="H64" s="7">
        <v>46205</v>
      </c>
      <c r="I64" s="9">
        <v>58.86</v>
      </c>
    </row>
    <row r="65" spans="1:9">
      <c r="A65" s="5" t="s">
        <v>23</v>
      </c>
      <c r="B65" t="s">
        <v>67</v>
      </c>
      <c r="C65" s="7">
        <v>46189</v>
      </c>
      <c r="D65" s="9">
        <v>39.9</v>
      </c>
      <c r="H65" s="7">
        <v>46205</v>
      </c>
      <c r="I65" s="9">
        <v>39.9</v>
      </c>
    </row>
    <row r="66" spans="1:9">
      <c r="A66" s="5" t="s">
        <v>23</v>
      </c>
      <c r="B66" t="s">
        <v>52</v>
      </c>
      <c r="C66" s="7">
        <v>46189</v>
      </c>
      <c r="D66" s="9">
        <v>805.17</v>
      </c>
      <c r="H66" s="7">
        <v>46205</v>
      </c>
      <c r="I66" s="9">
        <v>805.17</v>
      </c>
    </row>
    <row r="67" spans="1:9">
      <c r="A67" s="5" t="s">
        <v>23</v>
      </c>
      <c r="B67" t="s">
        <v>30</v>
      </c>
      <c r="C67" s="7">
        <v>46189</v>
      </c>
      <c r="D67" s="9">
        <v>72</v>
      </c>
      <c r="H67" s="7">
        <v>46205</v>
      </c>
      <c r="I67" s="9">
        <v>72</v>
      </c>
    </row>
    <row r="68" spans="1:9">
      <c r="A68" s="5" t="s">
        <v>23</v>
      </c>
      <c r="B68" t="s">
        <v>65</v>
      </c>
      <c r="C68" s="7">
        <v>46187</v>
      </c>
      <c r="D68" s="9">
        <v>3</v>
      </c>
      <c r="H68" s="7">
        <v>46205</v>
      </c>
      <c r="I68" s="9">
        <v>3</v>
      </c>
    </row>
    <row r="69" spans="1:9">
      <c r="A69" s="5" t="s">
        <v>23</v>
      </c>
      <c r="B69" t="s">
        <v>50</v>
      </c>
      <c r="C69" s="7">
        <v>46187</v>
      </c>
      <c r="D69" s="9">
        <v>14.24</v>
      </c>
      <c r="H69" s="7">
        <v>46205</v>
      </c>
      <c r="I69" s="9">
        <v>14.24</v>
      </c>
    </row>
    <row r="70" spans="1:9">
      <c r="A70" s="5" t="s">
        <v>23</v>
      </c>
      <c r="B70" t="s">
        <v>45</v>
      </c>
      <c r="C70" s="7">
        <v>46187</v>
      </c>
      <c r="D70" s="9">
        <v>70.8</v>
      </c>
      <c r="H70" s="7">
        <v>46205</v>
      </c>
      <c r="I70" s="9">
        <v>70.8</v>
      </c>
    </row>
    <row r="71" spans="1:9">
      <c r="A71" s="5" t="s">
        <v>23</v>
      </c>
      <c r="B71" t="s">
        <v>45</v>
      </c>
      <c r="C71" s="7">
        <v>46187</v>
      </c>
      <c r="D71" s="9">
        <v>90</v>
      </c>
      <c r="H71" s="7">
        <v>46205</v>
      </c>
      <c r="I71" s="9">
        <v>90</v>
      </c>
    </row>
    <row r="72" spans="1:9">
      <c r="A72" s="5" t="s">
        <v>23</v>
      </c>
      <c r="B72" t="s">
        <v>26</v>
      </c>
      <c r="C72" s="7">
        <v>46184</v>
      </c>
      <c r="D72" s="9">
        <v>138.30000000000001</v>
      </c>
      <c r="H72" s="7">
        <v>46205</v>
      </c>
      <c r="I72" s="9">
        <v>138.30000000000001</v>
      </c>
    </row>
    <row r="73" spans="1:9">
      <c r="A73" s="5" t="s">
        <v>23</v>
      </c>
      <c r="B73" t="s">
        <v>30</v>
      </c>
      <c r="C73" s="7">
        <v>46182</v>
      </c>
      <c r="D73" s="9">
        <v>36</v>
      </c>
      <c r="H73" s="7">
        <v>46205</v>
      </c>
      <c r="I73" s="9">
        <v>36</v>
      </c>
    </row>
    <row r="74" spans="1:9">
      <c r="A74" s="5" t="s">
        <v>23</v>
      </c>
      <c r="B74" t="s">
        <v>52</v>
      </c>
      <c r="C74" s="7">
        <v>46182</v>
      </c>
      <c r="D74" s="9">
        <v>621.9</v>
      </c>
      <c r="H74" s="7">
        <v>46205</v>
      </c>
      <c r="I74" s="9">
        <v>621.9</v>
      </c>
    </row>
    <row r="75" spans="1:9">
      <c r="A75" s="5" t="s">
        <v>23</v>
      </c>
      <c r="B75" t="s">
        <v>65</v>
      </c>
      <c r="C75" s="7">
        <v>46180</v>
      </c>
      <c r="D75" s="9">
        <v>2</v>
      </c>
      <c r="H75" s="7">
        <v>46205</v>
      </c>
      <c r="I75" s="9">
        <v>2</v>
      </c>
    </row>
    <row r="76" spans="1:9">
      <c r="A76" s="5" t="s">
        <v>23</v>
      </c>
      <c r="B76" t="s">
        <v>50</v>
      </c>
      <c r="C76" s="7">
        <v>46180</v>
      </c>
      <c r="D76" s="9">
        <v>16.600000000000001</v>
      </c>
      <c r="H76" s="7">
        <v>46205</v>
      </c>
      <c r="I76" s="9">
        <v>16.600000000000001</v>
      </c>
    </row>
    <row r="77" spans="1:9">
      <c r="A77" s="5" t="s">
        <v>23</v>
      </c>
      <c r="B77" t="s">
        <v>45</v>
      </c>
      <c r="C77" s="7">
        <v>46180</v>
      </c>
      <c r="D77" s="9">
        <v>90</v>
      </c>
      <c r="H77" s="7">
        <v>46205</v>
      </c>
      <c r="I77" s="9">
        <v>90</v>
      </c>
    </row>
    <row r="78" spans="1:9">
      <c r="A78" s="5" t="s">
        <v>23</v>
      </c>
      <c r="B78" t="s">
        <v>32</v>
      </c>
      <c r="C78" s="7">
        <v>46180</v>
      </c>
      <c r="D78" s="9">
        <v>154</v>
      </c>
      <c r="H78" s="7">
        <v>46205</v>
      </c>
      <c r="I78" s="9">
        <v>154</v>
      </c>
    </row>
    <row r="79" spans="1:9">
      <c r="A79" s="5" t="s">
        <v>23</v>
      </c>
      <c r="B79" t="s">
        <v>64</v>
      </c>
      <c r="C79" s="7">
        <v>46180</v>
      </c>
      <c r="D79" s="9">
        <v>55.23</v>
      </c>
      <c r="H79" s="7">
        <v>46205</v>
      </c>
      <c r="I79" s="9">
        <v>55.23</v>
      </c>
    </row>
    <row r="80" spans="1:9">
      <c r="A80" s="5" t="s">
        <v>23</v>
      </c>
      <c r="B80" t="s">
        <v>28</v>
      </c>
      <c r="C80" s="7">
        <v>46180</v>
      </c>
      <c r="D80" s="9">
        <v>50</v>
      </c>
      <c r="H80" s="7">
        <v>46205</v>
      </c>
      <c r="I80" s="9">
        <v>50</v>
      </c>
    </row>
    <row r="81" spans="1:9">
      <c r="A81" s="5" t="s">
        <v>23</v>
      </c>
      <c r="B81" t="s">
        <v>73</v>
      </c>
      <c r="C81" s="7">
        <v>46180</v>
      </c>
      <c r="D81" s="9">
        <v>187.81</v>
      </c>
      <c r="H81" s="7">
        <v>46205</v>
      </c>
      <c r="I81" s="9">
        <v>187.81</v>
      </c>
    </row>
    <row r="82" spans="1:9">
      <c r="A82" s="5" t="s">
        <v>23</v>
      </c>
      <c r="B82" t="s">
        <v>43</v>
      </c>
      <c r="C82" s="7">
        <v>46179</v>
      </c>
      <c r="D82" s="9">
        <v>21</v>
      </c>
      <c r="H82" s="7">
        <v>46205</v>
      </c>
      <c r="I82" s="9">
        <v>21</v>
      </c>
    </row>
    <row r="83" spans="1:9">
      <c r="A83" s="5" t="s">
        <v>23</v>
      </c>
      <c r="B83" t="s">
        <v>43</v>
      </c>
      <c r="C83" s="7">
        <v>46179</v>
      </c>
      <c r="D83" s="9">
        <v>30</v>
      </c>
      <c r="H83" s="7">
        <v>46205</v>
      </c>
      <c r="I83" s="9">
        <v>30</v>
      </c>
    </row>
    <row r="84" spans="1:9">
      <c r="A84" s="5" t="s">
        <v>23</v>
      </c>
      <c r="B84" t="s">
        <v>50</v>
      </c>
      <c r="C84" s="7">
        <v>46179</v>
      </c>
      <c r="D84" s="9">
        <v>76.069999999999993</v>
      </c>
      <c r="H84" s="7">
        <v>46205</v>
      </c>
      <c r="I84" s="9">
        <v>76.069999999999993</v>
      </c>
    </row>
    <row r="85" spans="1:9">
      <c r="A85" s="5" t="s">
        <v>23</v>
      </c>
      <c r="B85" t="s">
        <v>74</v>
      </c>
      <c r="C85" s="7">
        <v>46178</v>
      </c>
      <c r="D85" s="9">
        <v>249.5</v>
      </c>
      <c r="H85" s="7">
        <v>46205</v>
      </c>
      <c r="I85" s="9">
        <v>249.5</v>
      </c>
    </row>
    <row r="86" spans="1:9">
      <c r="A86" s="5" t="s">
        <v>23</v>
      </c>
      <c r="B86" t="s">
        <v>75</v>
      </c>
      <c r="C86" s="7">
        <v>46178</v>
      </c>
      <c r="D86" s="9">
        <v>20</v>
      </c>
      <c r="H86" s="7">
        <v>46205</v>
      </c>
      <c r="I86" s="9">
        <v>20</v>
      </c>
    </row>
    <row r="87" spans="1:9">
      <c r="A87" s="5" t="s">
        <v>23</v>
      </c>
      <c r="B87" t="s">
        <v>54</v>
      </c>
      <c r="C87" s="7">
        <v>46178</v>
      </c>
      <c r="D87" s="9">
        <v>42.62</v>
      </c>
      <c r="H87" s="7">
        <v>46205</v>
      </c>
      <c r="I87" s="9">
        <v>42.62</v>
      </c>
    </row>
    <row r="88" spans="1:9">
      <c r="A88" s="5" t="s">
        <v>23</v>
      </c>
      <c r="B88" t="s">
        <v>26</v>
      </c>
      <c r="C88" s="7">
        <v>46178</v>
      </c>
      <c r="D88" s="9">
        <v>15.9</v>
      </c>
      <c r="H88" s="7">
        <v>46205</v>
      </c>
      <c r="I88" s="9">
        <v>15.9</v>
      </c>
    </row>
    <row r="89" spans="1:9">
      <c r="A89" s="5" t="s">
        <v>23</v>
      </c>
      <c r="B89" t="s">
        <v>26</v>
      </c>
      <c r="C89" s="7">
        <v>46177</v>
      </c>
      <c r="D89" s="9">
        <v>17.22</v>
      </c>
      <c r="H89" s="7">
        <v>46205</v>
      </c>
      <c r="I89" s="9">
        <v>17.22</v>
      </c>
    </row>
    <row r="90" spans="1:9">
      <c r="A90" s="5" t="s">
        <v>23</v>
      </c>
      <c r="B90" t="s">
        <v>44</v>
      </c>
      <c r="C90" s="7">
        <v>46177</v>
      </c>
      <c r="D90" s="9">
        <v>21.68</v>
      </c>
      <c r="H90" s="7">
        <v>46205</v>
      </c>
      <c r="I90" s="9">
        <v>21.68</v>
      </c>
    </row>
    <row r="91" spans="1:9">
      <c r="A91" s="5" t="s">
        <v>23</v>
      </c>
      <c r="B91" t="s">
        <v>51</v>
      </c>
      <c r="C91" s="7">
        <v>46176</v>
      </c>
      <c r="D91" s="9">
        <v>88.78</v>
      </c>
      <c r="H91" s="7">
        <v>46205</v>
      </c>
      <c r="I91" s="9">
        <v>88.78</v>
      </c>
    </row>
    <row r="92" spans="1:9">
      <c r="A92" s="5" t="s">
        <v>23</v>
      </c>
      <c r="B92" t="s">
        <v>52</v>
      </c>
      <c r="C92" s="7">
        <v>46176</v>
      </c>
      <c r="D92" s="9">
        <v>506.1</v>
      </c>
      <c r="H92" s="7">
        <v>46205</v>
      </c>
      <c r="I92" s="9">
        <v>506.1</v>
      </c>
    </row>
    <row r="93" spans="1:9">
      <c r="A93" s="5" t="s">
        <v>23</v>
      </c>
      <c r="B93" t="s">
        <v>76</v>
      </c>
      <c r="C93" s="7">
        <v>46176</v>
      </c>
      <c r="D93" s="9">
        <v>50</v>
      </c>
      <c r="H93" s="7">
        <v>46205</v>
      </c>
      <c r="I93" s="9">
        <v>50</v>
      </c>
    </row>
    <row r="94" spans="1:9">
      <c r="A94" s="5" t="s">
        <v>23</v>
      </c>
      <c r="B94" t="s">
        <v>77</v>
      </c>
      <c r="C94" s="7">
        <v>46176</v>
      </c>
      <c r="D94" s="9">
        <v>30</v>
      </c>
      <c r="H94" s="7">
        <v>46205</v>
      </c>
      <c r="I94" s="9">
        <v>30</v>
      </c>
    </row>
    <row r="95" spans="1:9">
      <c r="A95" s="5" t="s">
        <v>23</v>
      </c>
      <c r="B95" t="s">
        <v>30</v>
      </c>
      <c r="C95" s="7">
        <v>46176</v>
      </c>
      <c r="D95" s="9">
        <v>72</v>
      </c>
      <c r="H95" s="7">
        <v>46205</v>
      </c>
      <c r="I95" s="9">
        <v>72</v>
      </c>
    </row>
    <row r="96" spans="1:9">
      <c r="A96" s="5" t="s">
        <v>23</v>
      </c>
      <c r="B96" t="s">
        <v>78</v>
      </c>
      <c r="C96" s="7">
        <v>46176</v>
      </c>
      <c r="D96" s="9">
        <v>18</v>
      </c>
      <c r="H96" s="7">
        <v>46205</v>
      </c>
      <c r="I96" s="9">
        <v>18</v>
      </c>
    </row>
    <row r="97" spans="1:9">
      <c r="A97" s="5" t="s">
        <v>23</v>
      </c>
      <c r="B97" t="s">
        <v>28</v>
      </c>
      <c r="C97" s="7">
        <v>46176</v>
      </c>
      <c r="D97" s="9">
        <v>50</v>
      </c>
      <c r="H97" s="7">
        <v>46205</v>
      </c>
      <c r="I97" s="9">
        <v>50</v>
      </c>
    </row>
    <row r="98" spans="1:9">
      <c r="A98" s="5" t="s">
        <v>23</v>
      </c>
      <c r="B98" t="s">
        <v>78</v>
      </c>
      <c r="C98" s="7">
        <v>46175</v>
      </c>
      <c r="D98" s="9">
        <v>18</v>
      </c>
      <c r="H98" s="7">
        <v>46205</v>
      </c>
      <c r="I98" s="9">
        <v>18</v>
      </c>
    </row>
    <row r="99" spans="1:9">
      <c r="A99" s="5" t="s">
        <v>23</v>
      </c>
      <c r="B99" t="s">
        <v>52</v>
      </c>
      <c r="C99" s="7">
        <v>46175</v>
      </c>
      <c r="D99" s="9">
        <v>16.5</v>
      </c>
      <c r="H99" s="7">
        <v>46205</v>
      </c>
      <c r="I99" s="9">
        <v>16.5</v>
      </c>
    </row>
    <row r="100" spans="1:9">
      <c r="A100" s="5" t="s">
        <v>23</v>
      </c>
      <c r="B100" t="s">
        <v>79</v>
      </c>
      <c r="C100" s="7">
        <v>46175</v>
      </c>
      <c r="D100" s="9">
        <v>39</v>
      </c>
      <c r="H100" s="7">
        <v>46205</v>
      </c>
      <c r="I100" s="9">
        <v>39</v>
      </c>
    </row>
    <row r="101" spans="1:9">
      <c r="A101" s="5" t="s">
        <v>23</v>
      </c>
      <c r="B101" t="s">
        <v>26</v>
      </c>
      <c r="C101" s="7">
        <v>46174</v>
      </c>
      <c r="D101" s="9">
        <v>18.5</v>
      </c>
      <c r="H101" s="7">
        <v>46205</v>
      </c>
      <c r="I101" s="9">
        <v>18.5</v>
      </c>
    </row>
    <row r="102" spans="1:9">
      <c r="A102" s="5" t="s">
        <v>23</v>
      </c>
      <c r="B102" t="s">
        <v>28</v>
      </c>
      <c r="C102" s="7">
        <v>46174</v>
      </c>
      <c r="D102" s="9">
        <v>150</v>
      </c>
      <c r="H102" s="7">
        <v>46205</v>
      </c>
      <c r="I102" s="9">
        <v>150</v>
      </c>
    </row>
    <row r="103" spans="1:9">
      <c r="A103" s="5" t="s">
        <v>23</v>
      </c>
      <c r="B103" t="s">
        <v>48</v>
      </c>
      <c r="C103" s="7">
        <v>46154</v>
      </c>
      <c r="D103" s="9">
        <v>3394</v>
      </c>
      <c r="H103" s="7">
        <v>46205</v>
      </c>
      <c r="I103" s="9">
        <v>1697</v>
      </c>
    </row>
    <row r="104" spans="1:9">
      <c r="A104" t="s">
        <v>15</v>
      </c>
      <c r="B104" t="s">
        <v>52</v>
      </c>
      <c r="C104" s="7">
        <v>46203</v>
      </c>
      <c r="D104" s="9">
        <v>25.8</v>
      </c>
      <c r="H104" s="7">
        <v>46205</v>
      </c>
      <c r="I104" s="9">
        <v>25.8</v>
      </c>
    </row>
    <row r="105" spans="1:9">
      <c r="A105" t="s">
        <v>15</v>
      </c>
      <c r="B105" t="s">
        <v>80</v>
      </c>
      <c r="C105" s="7">
        <v>46198</v>
      </c>
      <c r="D105" s="16">
        <v>450</v>
      </c>
      <c r="H105" s="7">
        <v>46205</v>
      </c>
      <c r="I105" s="9">
        <v>1582.38</v>
      </c>
    </row>
    <row r="106" spans="1:9">
      <c r="A106" t="s">
        <v>15</v>
      </c>
      <c r="B106" t="s">
        <v>72</v>
      </c>
      <c r="C106" s="7">
        <v>46191</v>
      </c>
      <c r="D106" s="9">
        <v>8.3000000000000007</v>
      </c>
      <c r="H106" s="7">
        <v>46205</v>
      </c>
      <c r="I106" s="9">
        <v>8.3000000000000007</v>
      </c>
    </row>
    <row r="107" spans="1:9">
      <c r="A107" t="s">
        <v>15</v>
      </c>
      <c r="B107" t="s">
        <v>50</v>
      </c>
      <c r="C107" s="7">
        <v>46186</v>
      </c>
      <c r="D107" s="9">
        <v>73</v>
      </c>
      <c r="H107" s="7">
        <v>46205</v>
      </c>
      <c r="I107" s="9">
        <v>73</v>
      </c>
    </row>
    <row r="108" spans="1:9">
      <c r="A108" t="s">
        <v>15</v>
      </c>
      <c r="B108" t="s">
        <v>81</v>
      </c>
      <c r="C108" s="7">
        <v>46184</v>
      </c>
      <c r="D108" s="9">
        <v>21.37</v>
      </c>
      <c r="H108" s="7">
        <v>46205</v>
      </c>
      <c r="I108" s="9">
        <v>21.37</v>
      </c>
    </row>
    <row r="109" spans="1:9">
      <c r="A109" t="s">
        <v>15</v>
      </c>
      <c r="B109" t="s">
        <v>82</v>
      </c>
      <c r="C109" s="7">
        <v>46182</v>
      </c>
      <c r="D109" s="9">
        <v>20</v>
      </c>
      <c r="H109" s="7">
        <v>46205</v>
      </c>
      <c r="I109" s="9">
        <v>61.24</v>
      </c>
    </row>
    <row r="110" spans="1:9">
      <c r="A110" t="s">
        <v>15</v>
      </c>
      <c r="B110" t="s">
        <v>83</v>
      </c>
      <c r="C110" s="7">
        <v>46177</v>
      </c>
      <c r="D110" s="9">
        <v>32.9</v>
      </c>
      <c r="H110" s="7">
        <v>46205</v>
      </c>
      <c r="I110" s="9">
        <v>32.9</v>
      </c>
    </row>
    <row r="111" spans="1:9">
      <c r="A111" t="s">
        <v>15</v>
      </c>
      <c r="B111" t="s">
        <v>40</v>
      </c>
      <c r="C111" s="7">
        <v>46177</v>
      </c>
      <c r="D111" s="9">
        <v>12.9</v>
      </c>
      <c r="H111" s="7">
        <v>46205</v>
      </c>
      <c r="I111" s="9"/>
    </row>
  </sheetData>
  <autoFilter ref="A1:K11" xr:uid="{A61984ED-E116-4D4A-93D2-EEFC3CCDEB83}"/>
  <phoneticPr fontId="49" type="noConversion"/>
  <dataValidations count="1">
    <dataValidation type="list" allowBlank="1" showInputMessage="1" showErrorMessage="1" sqref="K2:K35" xr:uid="{F042B251-4843-4CE1-AC32-F43D69A5A06E}">
      <formula1>סוג_כרטיס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B836-A168-4D52-8804-D071647A28FF}">
  <dimension ref="A1:B11"/>
  <sheetViews>
    <sheetView rightToLeft="1" workbookViewId="0">
      <selection activeCell="A7" sqref="A7"/>
    </sheetView>
  </sheetViews>
  <sheetFormatPr defaultRowHeight="15"/>
  <cols>
    <col min="1" max="1" width="10.7109375" bestFit="1" customWidth="1"/>
  </cols>
  <sheetData>
    <row r="1" spans="1:2">
      <c r="A1" t="s">
        <v>14</v>
      </c>
      <c r="B1" t="s">
        <v>9</v>
      </c>
    </row>
    <row r="3" spans="1:2">
      <c r="A3" s="5" t="s">
        <v>23</v>
      </c>
      <c r="B3" t="s">
        <v>10</v>
      </c>
    </row>
    <row r="4" spans="1:2">
      <c r="A4" s="1" t="s">
        <v>8</v>
      </c>
      <c r="B4" t="s">
        <v>11</v>
      </c>
    </row>
    <row r="5" spans="1:2">
      <c r="A5" t="s">
        <v>15</v>
      </c>
      <c r="B5" t="s">
        <v>12</v>
      </c>
    </row>
    <row r="6" spans="1:2">
      <c r="A6" t="s">
        <v>16</v>
      </c>
      <c r="B6" t="s">
        <v>13</v>
      </c>
    </row>
    <row r="7" spans="1:2">
      <c r="A7" t="s">
        <v>19</v>
      </c>
      <c r="B7" t="s">
        <v>20</v>
      </c>
    </row>
    <row r="8" spans="1:2">
      <c r="A8" s="4" t="s">
        <v>21</v>
      </c>
      <c r="B8" t="s">
        <v>11</v>
      </c>
    </row>
    <row r="9" spans="1:2">
      <c r="A9" s="4" t="s">
        <v>22</v>
      </c>
      <c r="B9" t="s">
        <v>11</v>
      </c>
    </row>
    <row r="10" spans="1:2">
      <c r="A10" t="s">
        <v>38</v>
      </c>
      <c r="B10" t="s">
        <v>39</v>
      </c>
    </row>
    <row r="11" spans="1:2">
      <c r="A11">
        <v>9973</v>
      </c>
      <c r="B11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_פירוט_עסקאות בכ</vt:lpstr>
      <vt:lpstr>טבלאות</vt:lpstr>
      <vt:lpstr>סוג_כרטיס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מיכאל ליארזי</dc:creator>
  <cp:lastModifiedBy>Michael Liarzi</cp:lastModifiedBy>
  <cp:lastPrinted>2017-05-08T11:44:03Z</cp:lastPrinted>
  <dcterms:created xsi:type="dcterms:W3CDTF">2016-10-09T14:12:02Z</dcterms:created>
  <dcterms:modified xsi:type="dcterms:W3CDTF">2026-07-09T06:05:43Z</dcterms:modified>
</cp:coreProperties>
</file>